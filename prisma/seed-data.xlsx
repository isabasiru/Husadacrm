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Dashboard" sheetId="2" r:id="rId6"/>
    <sheet state="hidden" name="Calc_Data" sheetId="3" r:id="rId7"/>
  </sheets>
  <definedNames/>
  <calcPr/>
</workbook>
</file>

<file path=xl/sharedStrings.xml><?xml version="1.0" encoding="utf-8"?>
<sst xmlns="http://schemas.openxmlformats.org/spreadsheetml/2006/main" count="1653" uniqueCount="940">
  <si>
    <t>Nama Pasien</t>
  </si>
  <si>
    <t>Usia</t>
  </si>
  <si>
    <t>Domisili</t>
  </si>
  <si>
    <t>No Telp</t>
  </si>
  <si>
    <t>Keluhan</t>
  </si>
  <si>
    <t>Pertanyaan</t>
  </si>
  <si>
    <t>PENUNJANG</t>
  </si>
  <si>
    <t>FR</t>
  </si>
  <si>
    <t>Status</t>
  </si>
  <si>
    <t>FU/RC</t>
  </si>
  <si>
    <t>Note RC</t>
  </si>
  <si>
    <t>Tanggal mulai</t>
  </si>
  <si>
    <t>Tanggal akhir</t>
  </si>
  <si>
    <t>Pencapaian</t>
  </si>
  <si>
    <t>Catatan</t>
  </si>
  <si>
    <t>Revenue</t>
  </si>
  <si>
    <t>Lapallawa Gau</t>
  </si>
  <si>
    <t>082349819467</t>
  </si>
  <si>
    <t>Aura</t>
  </si>
  <si>
    <t>Closed</t>
  </si>
  <si>
    <t>-</t>
  </si>
  <si>
    <t>klik ADS - no response</t>
  </si>
  <si>
    <t>Dokter Judy Wahjono (teman dokter Roger)</t>
  </si>
  <si>
    <t>08164882717</t>
  </si>
  <si>
    <t>besar prostat 39 ml. PSA 4,4. urine normal tidak ada infeksi atau darah, sudah minum Harnal 0,2 + Dutasterid selama 6 bulan.</t>
  </si>
  <si>
    <t>Biaya tindakan sampai berapa ? Lama mondok RS berapa hari..Lama istirahat dirumah berapa hari</t>
  </si>
  <si>
    <t xml:space="preserve">- volume prostat : 39 ml
- PSA : 4,4
</t>
  </si>
  <si>
    <t>Dalam proses dr Candy</t>
  </si>
  <si>
    <t>dr. Candy</t>
  </si>
  <si>
    <t>bingung kalau harus meninggalkan praktek selama seminggu (selama kateter masih terpasang), akan dipikir-pikir dahulu</t>
  </si>
  <si>
    <t>Bambang Priyadi</t>
  </si>
  <si>
    <t>Chitriaggt</t>
  </si>
  <si>
    <t>081362138802</t>
  </si>
  <si>
    <t>Keluhan Masalah Sering Buang Air Kecil Siang Dan Malam. Baru operasi kantung kemih dan ada batu. operasi bulan desember 2025</t>
  </si>
  <si>
    <t>FU Ulang</t>
  </si>
  <si>
    <t>Maya</t>
  </si>
  <si>
    <t>Belum kirim hasil penunjang</t>
  </si>
  <si>
    <t>Elhelwi</t>
  </si>
  <si>
    <t>Muara Bungo</t>
  </si>
  <si>
    <t>082350891535</t>
  </si>
  <si>
    <t>Sering BAK di malam hari, ganggu istirahat. keluhan sudah 10 tahun, pernah konsul dan dikasih obat.</t>
  </si>
  <si>
    <t>tindakan rezum di RS Husada itu bagaimana</t>
  </si>
  <si>
    <t>LINK PENUNJANG</t>
  </si>
  <si>
    <t>Karyono</t>
  </si>
  <si>
    <t>Medan</t>
  </si>
  <si>
    <t>Sering kencing akibat pembesaran prostat</t>
  </si>
  <si>
    <t>LINK USG terakhir 5 tahun lalu</t>
  </si>
  <si>
    <t>Syukuruchu</t>
  </si>
  <si>
    <t>082188266722</t>
  </si>
  <si>
    <t>Pernah TURP akhir tahun 2024, namun prostat nya meradang lagi. sekarang sering pipis. rutin konsumsi obat Tamsulosin. seminggu sekali konsul urologi.</t>
  </si>
  <si>
    <t>sudah dimintakan penunjang namun tidak dibalas</t>
  </si>
  <si>
    <t>Dwi</t>
  </si>
  <si>
    <t>081230162999</t>
  </si>
  <si>
    <t>Tanya lokasi</t>
  </si>
  <si>
    <t>tidak ada respon balik</t>
  </si>
  <si>
    <t>Syukri Syarif</t>
  </si>
  <si>
    <t>Riau</t>
  </si>
  <si>
    <t>08126855587</t>
  </si>
  <si>
    <t>Nyeri ketika pipis dan rutin ke dokter urologi tapi blm ada perubahan. konsumsi obat tumsulosin</t>
  </si>
  <si>
    <t>Audina</t>
  </si>
  <si>
    <t>fu 15 mei 8.00 : belum ada jawaban</t>
  </si>
  <si>
    <t>FR menanyakan hasil pemeriksaan dari dokter urologi sebelumnya (karna infonya pasien aktif konsul) namun tidak ada balasan</t>
  </si>
  <si>
    <t>Hasan Bugis</t>
  </si>
  <si>
    <t>082113390781</t>
  </si>
  <si>
    <t>sering kencing, di diagnosa prostat jinak, sudah 3 bulan minum obat yang itu-itu aja dan tidak ada perubahan. pasien takut operasi</t>
  </si>
  <si>
    <t>biaya konsultasi rawat jalan terasa mahal bagi pasien. sudah ditawarkan opsi skrining dulu dengan BPJS namun pasien tidak mau tindakan pakai pribadi. pasien tidak punya asuransi swasta</t>
  </si>
  <si>
    <t>Soepriyono</t>
  </si>
  <si>
    <t>Surabaya</t>
  </si>
  <si>
    <t>0811320524</t>
  </si>
  <si>
    <t>kencing tersendat terasa tidak tuntas, sejak 4 tahun yang lalu. Sempat disuruh operasi tapi ditunda karena dana dan faktor lain</t>
  </si>
  <si>
    <t>kalau mau  operasi prostat sebelumnya perlu periksa lab apa saja ya... atau tergantung pemeriksaan lebih dulu?</t>
  </si>
  <si>
    <t>Kalau bulan ini ke Jakarta, mungkin akan menyempatkan konsultasi</t>
  </si>
  <si>
    <t>Richard Ricardo Mayor</t>
  </si>
  <si>
    <t>Jakarta</t>
  </si>
  <si>
    <t>08128750773</t>
  </si>
  <si>
    <t>Sering kencing, aliran tidak kencang sejak 4 bulan terakhir. belum pernah konsul ke dokter</t>
  </si>
  <si>
    <t>sudah ditawarkan konsul dulu tapi belum respon</t>
  </si>
  <si>
    <t>Didik</t>
  </si>
  <si>
    <t>Malang</t>
  </si>
  <si>
    <t>0811369799</t>
  </si>
  <si>
    <t>Malam terbangun 3x untuk pipis, keluhan sejak 2 tahun yang lalu</t>
  </si>
  <si>
    <t>tanya biaya</t>
  </si>
  <si>
    <t>FR menanyakan kapan konsul terakhir dengan dokter urologi, tapi belum respon</t>
  </si>
  <si>
    <t>Sumadi</t>
  </si>
  <si>
    <t>082352791884</t>
  </si>
  <si>
    <t xml:space="preserve">pernah mengalami pembesaran prostat, rasa sakit panas saat buang air kecil, terasa sakit di area di bawah pusar, buang air kecil puluhan kali dlm 1 hari </t>
  </si>
  <si>
    <t>Pasien rencana USG tgl 2 juni, mohon di FU di tgl tersebut untuk penunjangnya</t>
  </si>
  <si>
    <t>Nukariadanyoman</t>
  </si>
  <si>
    <t>Bali</t>
  </si>
  <si>
    <t>081338945430</t>
  </si>
  <si>
    <t>Sering kencing malam dan terasa sakit. ditemukan pembesaran prostat. konsultasi sempat terhenti</t>
  </si>
  <si>
    <t>Domisili pasien jauh, katanya waduh saya di Bali</t>
  </si>
  <si>
    <t>Budhi Pras</t>
  </si>
  <si>
    <t>Jepara</t>
  </si>
  <si>
    <t>081390942259</t>
  </si>
  <si>
    <t>Pembesaran prostat, sering BAK pagi dan malam sejak tahun 2024. konsultasi 2 minggu sekali dengan dokter urologi, rutin konsumsi obat urief, renax urinter gobazim</t>
  </si>
  <si>
    <t>menunggu kirim hasil penunjang terbaru</t>
  </si>
  <si>
    <t>Shiraj</t>
  </si>
  <si>
    <t>Balikpapan</t>
  </si>
  <si>
    <t>081212653097</t>
  </si>
  <si>
    <t>Diagnosa BPH sejak 1 April 2026. Hasil PSA 8.16. Masih pakai kateter</t>
  </si>
  <si>
    <t>terakhir chat pasien menanyakan biaya. lokasi pasien di Surabaya.</t>
  </si>
  <si>
    <t>Sutrisno</t>
  </si>
  <si>
    <t>081356156547</t>
  </si>
  <si>
    <t>Pembengkakan prostat di angka 48</t>
  </si>
  <si>
    <t>tanya biaya lab dan rezum</t>
  </si>
  <si>
    <t>Proses Screening</t>
  </si>
  <si>
    <t>Samsu Marly</t>
  </si>
  <si>
    <t>082246038853</t>
  </si>
  <si>
    <t>Ambri</t>
  </si>
  <si>
    <t>081363619649</t>
  </si>
  <si>
    <t>Piet Pungus</t>
  </si>
  <si>
    <t>Manado</t>
  </si>
  <si>
    <t>082216161813</t>
  </si>
  <si>
    <t>sering BAK di malam hari, pancaran kencing lemah</t>
  </si>
  <si>
    <t>Patio Doli</t>
  </si>
  <si>
    <t>085358546500</t>
  </si>
  <si>
    <t>rasa anyang--anyang jika sehabis pipis, bagian perut bawah sakit. berkemihnya masih normal. sempat konsul dan dinyatakan ISK serta radang prostat. diberikan obat namun tidak tuntas. konsumsi Dutasteride pagi dan Tamsulosin malam</t>
  </si>
  <si>
    <t>Albert Dahris Hutahaean</t>
  </si>
  <si>
    <t>081397486666</t>
  </si>
  <si>
    <t>Ukuran BPH sekitar 25/30, terakhir konsultasi April 2026 di RS Mitra Keluarga Kelapa Gading. konsumsi obat dan suplemen prostagone</t>
  </si>
  <si>
    <t>- Volume prostat : 25/30</t>
  </si>
  <si>
    <t>FR meminta hasil penunjang tidak dibalas</t>
  </si>
  <si>
    <t>Fajar M</t>
  </si>
  <si>
    <t>081243580458</t>
  </si>
  <si>
    <t>Hariyanto Akbar</t>
  </si>
  <si>
    <t>Gresik</t>
  </si>
  <si>
    <t>08123510581</t>
  </si>
  <si>
    <t>ada pembesaran prostat</t>
  </si>
  <si>
    <t>sedang di luar kota selama sebulan, belum bisa kirimkan foto hasil pemeriksaan terbaru</t>
  </si>
  <si>
    <t>Putu Sudana</t>
  </si>
  <si>
    <t>082297206396</t>
  </si>
  <si>
    <t>Keluhan berkemih setiap 20 menit.  sudah pernah di cek ke dokter dan di teropong, hasilnya normal</t>
  </si>
  <si>
    <t>tanya keseluruhan biaya hingga sembuh</t>
  </si>
  <si>
    <t>FR baru menginformasikan biaya konsul nya saja, tapi tidak direspon kembali</t>
  </si>
  <si>
    <t>Shaa</t>
  </si>
  <si>
    <t>085603803284</t>
  </si>
  <si>
    <t>Pembesaran prostat</t>
  </si>
  <si>
    <t>cara penyembuhannya gimana</t>
  </si>
  <si>
    <t>FR menanyakan usia dan keluhan namun tidak ada respon balasan</t>
  </si>
  <si>
    <t>Azwawi</t>
  </si>
  <si>
    <t>085384231536</t>
  </si>
  <si>
    <t>susah tahan buang air kecil, malam hari bisa 2-3 kali ke kamar mandi</t>
  </si>
  <si>
    <t>FR menanyakan apakah prnh konsul dengan dr urologi, namun no response</t>
  </si>
  <si>
    <t>Habudin</t>
  </si>
  <si>
    <t>Bekasi</t>
  </si>
  <si>
    <t>08128085887</t>
  </si>
  <si>
    <t>sering kencing dan tersendat bercabang, sudah 5 tahunan belum pernah periksa</t>
  </si>
  <si>
    <t>tanya biaya dan lokasi</t>
  </si>
  <si>
    <t>mau konsul di RS terdekat dahulu. FU untuk update pemeriksaannya.</t>
  </si>
  <si>
    <t>Timbul Tambunan</t>
  </si>
  <si>
    <t>Banyuwangi</t>
  </si>
  <si>
    <t>081234887972</t>
  </si>
  <si>
    <t>Jika pipis rasanya ada yang buntu, pipis agak tersendat</t>
  </si>
  <si>
    <t>Fattah Fauzi</t>
  </si>
  <si>
    <t>081210169592</t>
  </si>
  <si>
    <t>BAK 4 kali di malam hari. ada hasil USG, ditemukan Pembesaran prostat dalam batas wajar</t>
  </si>
  <si>
    <t>FR meminta hasil penunjang namun tidak ada respon</t>
  </si>
  <si>
    <t>Robert Nainggolan</t>
  </si>
  <si>
    <t>08116004512</t>
  </si>
  <si>
    <t>Hasan Bainur</t>
  </si>
  <si>
    <t>081213287614</t>
  </si>
  <si>
    <t>Hutojo</t>
  </si>
  <si>
    <t>085330716168</t>
  </si>
  <si>
    <t>Sony</t>
  </si>
  <si>
    <t>081253291523</t>
  </si>
  <si>
    <t>Jumhadi</t>
  </si>
  <si>
    <t>Cimanggis</t>
  </si>
  <si>
    <t>082169920117</t>
  </si>
  <si>
    <t>Prostatitis. sering kencing siang dan malam, terasa tidak tuntas. sudah 1 tahun konsumsi obat dutasteride</t>
  </si>
  <si>
    <t>Masbadrudin</t>
  </si>
  <si>
    <t>083875218444</t>
  </si>
  <si>
    <t>tanya lokasi</t>
  </si>
  <si>
    <t>28 april udah USG tapi hasilnya gatau berapa. hanya ditemukan ada pembesaran yang masih di batas normal</t>
  </si>
  <si>
    <t>Syahlan</t>
  </si>
  <si>
    <t>081375768829</t>
  </si>
  <si>
    <t>pembengkakan prostat, saat ini minum obat dokter</t>
  </si>
  <si>
    <t>fotonya ga ada
L 3.13 
H 4.77 
W 3.98 
volume 31.04 ml</t>
  </si>
  <si>
    <t>Susilo</t>
  </si>
  <si>
    <t>085256669395</t>
  </si>
  <si>
    <t>081347058180</t>
  </si>
  <si>
    <t>Bang Komar</t>
  </si>
  <si>
    <t>08112222109</t>
  </si>
  <si>
    <t>ditanyakan usia dan keluhan tidak ada respon</t>
  </si>
  <si>
    <t>Sutaryono</t>
  </si>
  <si>
    <t>087774111936</t>
  </si>
  <si>
    <t>apakah bisa pakai BPJS</t>
  </si>
  <si>
    <t>tidak ada respon lebih lanjut</t>
  </si>
  <si>
    <t>Saiful</t>
  </si>
  <si>
    <t>0811769421</t>
  </si>
  <si>
    <t>sering kencing malam hari</t>
  </si>
  <si>
    <t>Budi</t>
  </si>
  <si>
    <t>081225784498</t>
  </si>
  <si>
    <t>kencing lancar, ada obat dokter yang di konsumsi</t>
  </si>
  <si>
    <t>- volume prostat : 34
- PSA : 1.4</t>
  </si>
  <si>
    <t>dimintakan foto hasil penunjang namun belum ada balasan. tapi by chat sudah disampaikan hasil pemeriksaannya</t>
  </si>
  <si>
    <t>Fredy Sitepu</t>
  </si>
  <si>
    <t>082161532999</t>
  </si>
  <si>
    <t>Made Sudiarta</t>
  </si>
  <si>
    <t>081379298828</t>
  </si>
  <si>
    <t>Keluhan BAK terasa nyeri dan tersendat, pernah konsultasi ke dokter dan ditemui pembengkakan prostat. pernah diberikan obat dan sembuh selama 6 bulan, namun sekarang terasa lagi keluhannya</t>
  </si>
  <si>
    <t>pembesaran prostat di angka 63</t>
  </si>
  <si>
    <t>Gerard N Bibang</t>
  </si>
  <si>
    <t>081320071387</t>
  </si>
  <si>
    <t>tidak ada respon balasan</t>
  </si>
  <si>
    <t>Amin Petrus</t>
  </si>
  <si>
    <t>082164903818</t>
  </si>
  <si>
    <t>+601164000227</t>
  </si>
  <si>
    <t>Asep</t>
  </si>
  <si>
    <t>Ciamis</t>
  </si>
  <si>
    <t>082218610086</t>
  </si>
  <si>
    <t>ada benjolan kanker kantung kemih dan sudah di arahkan untuk operasi. kencing terasa nyeri dan panas pinggul terasa nyeri. keluhan hanya didiamkan saja, menunggu keajaiban sambil konusmsi daun kumis kucing</t>
  </si>
  <si>
    <t>solusi nya harus bagaimana dengan keluhan tersebut</t>
  </si>
  <si>
    <t>Romanus</t>
  </si>
  <si>
    <t>082299052730</t>
  </si>
  <si>
    <t>sering buang air kecil di malam hari, sudah dikasih obat tapi kambuh lagi</t>
  </si>
  <si>
    <t>LINK USG</t>
  </si>
  <si>
    <t>Sahrudin Majid</t>
  </si>
  <si>
    <t>Sulawesi</t>
  </si>
  <si>
    <t>082349444363</t>
  </si>
  <si>
    <t>Tanya lokasi dan biaya</t>
  </si>
  <si>
    <t>tidak ada respon kembali</t>
  </si>
  <si>
    <t>Baim</t>
  </si>
  <si>
    <t>Jambi</t>
  </si>
  <si>
    <t>082177775916</t>
  </si>
  <si>
    <t>Pinggang kiri sampai bagian buah zakar sebelah kiri terasa nyeri, kencing terasa tidak tuntas</t>
  </si>
  <si>
    <t>Belom konsultasi ke dokter, FR saran konsul dulu di Jambi</t>
  </si>
  <si>
    <t>Abu Fathoni</t>
  </si>
  <si>
    <t>Kalimantan Timur</t>
  </si>
  <si>
    <t>081347619650</t>
  </si>
  <si>
    <t>sudah tegak diagnosa prostat. disarankan operasi tapi pasien takut. keluhan Malam sering kencing 2-3 kali, air seni nya berbusa dan terasa tidak tuntas</t>
  </si>
  <si>
    <t>FR menanyakan angka pembesarannya namun belum di respon</t>
  </si>
  <si>
    <t>Doddy Syah</t>
  </si>
  <si>
    <t>082130294831</t>
  </si>
  <si>
    <t>Daniusman</t>
  </si>
  <si>
    <t>085263045408</t>
  </si>
  <si>
    <t>Nyoman</t>
  </si>
  <si>
    <t>081237895245</t>
  </si>
  <si>
    <t>Menderita prostat, berobat di Bali</t>
  </si>
  <si>
    <t>- besar prostat 93</t>
  </si>
  <si>
    <t>H. Abd Sidik Ishak</t>
  </si>
  <si>
    <t>085254100051</t>
  </si>
  <si>
    <t>Wasein Munthe</t>
  </si>
  <si>
    <t>08115914959</t>
  </si>
  <si>
    <t>Hasil USG prostat membesar, disarankan operasi. terakhir konsultasi dengan dokter urologi tanggal 7 mei 2026.</t>
  </si>
  <si>
    <t>apakah bisa dilakukan operasi di RS Husada, apa saja yang perlu dilengkapi?</t>
  </si>
  <si>
    <t>LINK PENUNJANG USG</t>
  </si>
  <si>
    <t>FR menanyakan hasil penunjang namun belum dibalas</t>
  </si>
  <si>
    <t>Komang Widarta</t>
  </si>
  <si>
    <t>081338516762</t>
  </si>
  <si>
    <t>Keluhan di kencing, kadang nggak tuntas, berbusa,tidak nyaman saat kencing, saat tidur siang kemih sering terasa penuh</t>
  </si>
  <si>
    <t>FR tanya pernah/tidak konsul dengan urologi namun no response</t>
  </si>
  <si>
    <t>Mandhiatmaja</t>
  </si>
  <si>
    <t>081946358676</t>
  </si>
  <si>
    <t>Ramon Ginting</t>
  </si>
  <si>
    <t>08111573610</t>
  </si>
  <si>
    <t>Yusak Totok</t>
  </si>
  <si>
    <t>082348231123</t>
  </si>
  <si>
    <t>diagnosa penebalan prostat, sudah disarankan operasi namun ada gangguan jantung</t>
  </si>
  <si>
    <t>solusi bagaimana?</t>
  </si>
  <si>
    <t>Soeyanto Hertanto</t>
  </si>
  <si>
    <t>0816978713</t>
  </si>
  <si>
    <t>Wahyu</t>
  </si>
  <si>
    <t>08127888168</t>
  </si>
  <si>
    <t>malam suka bangun kencing 2-3 kali. menurut dokter di palembang, ada pembesaran prostat</t>
  </si>
  <si>
    <t>apakah ada harapan untuk normal kembali</t>
  </si>
  <si>
    <t>FR meminta hasil penunjang, no response</t>
  </si>
  <si>
    <t>+971506154584</t>
  </si>
  <si>
    <t>Bambang Sutrisna</t>
  </si>
  <si>
    <t>082213566815</t>
  </si>
  <si>
    <t>prostat</t>
  </si>
  <si>
    <t>pasien belum menjelaskan keluhan dan riwayat berobatnya</t>
  </si>
  <si>
    <t>Musa Kamudi</t>
  </si>
  <si>
    <t>08124841702</t>
  </si>
  <si>
    <t>Syaharun</t>
  </si>
  <si>
    <t>082112634388</t>
  </si>
  <si>
    <t>malam hari sering kencing 3-4x, air seni berbusa. belum pernah berobat ke urologi</t>
  </si>
  <si>
    <t>Yono Benggolo</t>
  </si>
  <si>
    <t>085236634277</t>
  </si>
  <si>
    <t>kalau jam 3 pagi berkemih, kencing pertamanya kesulitan. namun kencing selanjutnya lancar. sulit ereksi</t>
  </si>
  <si>
    <t>menanyakan pernah/tidak periksa ke dokter namun no response</t>
  </si>
  <si>
    <t>Dianoer</t>
  </si>
  <si>
    <t>081328271258</t>
  </si>
  <si>
    <t>gejala prostat</t>
  </si>
  <si>
    <t>Dani</t>
  </si>
  <si>
    <t>085250216619</t>
  </si>
  <si>
    <t>ada prostat. 2 bulan yg lalu dikasih obat Reinpid dutasteride 0,5 sama prostam sr,  masih di konsumsi hingga sekarang</t>
  </si>
  <si>
    <t>LINK PENUNJANG LAB</t>
  </si>
  <si>
    <t>Bibitsahlan</t>
  </si>
  <si>
    <t>082225152565</t>
  </si>
  <si>
    <t>IskandarImba</t>
  </si>
  <si>
    <t>081354779861</t>
  </si>
  <si>
    <t>Konsul terakhir januari 2026, hasil USG Pembengkakan prostat jinak. pernah konsumsi obat DUORIDE-T namun sudah tidak konsumsi lagi</t>
  </si>
  <si>
    <t>USG prostat 46 (februari 2026)</t>
  </si>
  <si>
    <t>Bernad Haning</t>
  </si>
  <si>
    <t>08113829975</t>
  </si>
  <si>
    <t>Arifin Musa</t>
  </si>
  <si>
    <t>081356467511</t>
  </si>
  <si>
    <t>sering kencing terutama di malam hari, bisa 3-4x</t>
  </si>
  <si>
    <t>Turnip</t>
  </si>
  <si>
    <t>081368159504</t>
  </si>
  <si>
    <t>Romy</t>
  </si>
  <si>
    <t>08164245154</t>
  </si>
  <si>
    <t>tanya lokasi dan apakah bisa pakai BPJS</t>
  </si>
  <si>
    <t>&gt; 12 jam no response</t>
  </si>
  <si>
    <t>Anwar Gunawan</t>
  </si>
  <si>
    <t>085275534540</t>
  </si>
  <si>
    <t>sering kencing di malam hari</t>
  </si>
  <si>
    <t>081360821717</t>
  </si>
  <si>
    <t>Alfons Dogopia</t>
  </si>
  <si>
    <t>Papua Tengah</t>
  </si>
  <si>
    <t>081215747291</t>
  </si>
  <si>
    <t>belakangan ini keluar masuk rumah sakit karena pembengkakan prostat</t>
  </si>
  <si>
    <t>berapa biaya ke RS Husada</t>
  </si>
  <si>
    <t>sedang diminta</t>
  </si>
  <si>
    <t>Ancy</t>
  </si>
  <si>
    <t>082248880061</t>
  </si>
  <si>
    <t>Penderita prostat ukuran sesuai hasil scanning 60 mm</t>
  </si>
  <si>
    <t>- Ukuran prostat : 60 mm
penunjang lain sedang dimintakan</t>
  </si>
  <si>
    <t>FR minta foto penunjangnya, belum dicarikan</t>
  </si>
  <si>
    <t>Romson Sihombing</t>
  </si>
  <si>
    <t>082210493913</t>
  </si>
  <si>
    <t>Awalnya ISK, setelah di USG ketahuan ada prostat. minum sedikit saja bawaannya ingin kencing terus</t>
  </si>
  <si>
    <t>Andereas Sai</t>
  </si>
  <si>
    <t>081339272514</t>
  </si>
  <si>
    <t>Apakah RS Husada ada di kota kupang</t>
  </si>
  <si>
    <t>tidak ada pertanyaan lebih lanjut</t>
  </si>
  <si>
    <t>Ardy</t>
  </si>
  <si>
    <t>081357354020</t>
  </si>
  <si>
    <t>sering buang air kecil di siang dan malam hari</t>
  </si>
  <si>
    <t>Felisita Belvania</t>
  </si>
  <si>
    <t>081230629746</t>
  </si>
  <si>
    <t>keluhannya cystitis bukan prostat, konsul februari 2026</t>
  </si>
  <si>
    <t>keluhan tidak berhubungan dengan prostat</t>
  </si>
  <si>
    <t>I Wayan Dharma</t>
  </si>
  <si>
    <t>082341266888</t>
  </si>
  <si>
    <t xml:space="preserve">I Nyoman Sukanada </t>
  </si>
  <si>
    <t>081383786599</t>
  </si>
  <si>
    <t>Aspen</t>
  </si>
  <si>
    <t>081263989355</t>
  </si>
  <si>
    <t>mengalami prostat dan kista ginjal sejak 3 tahun. pengobatannya hanya dengan obat</t>
  </si>
  <si>
    <t>ingin mengetahui sistem tindakan rezum</t>
  </si>
  <si>
    <t>FR minta hasil pemeriksaan, no response</t>
  </si>
  <si>
    <t>Asmadi</t>
  </si>
  <si>
    <t>Samarinda</t>
  </si>
  <si>
    <t>081351789139</t>
  </si>
  <si>
    <t>hanya tanya lokasi</t>
  </si>
  <si>
    <t>Yuyu Kusnadi</t>
  </si>
  <si>
    <t>082113717337</t>
  </si>
  <si>
    <t>Yusuf</t>
  </si>
  <si>
    <t>082110258205</t>
  </si>
  <si>
    <t>mengalami pembengkakan prostat, tidak bisa tahan kencing, menghambat hubungan suami istri</t>
  </si>
  <si>
    <t>angka pembesaran prostat di 80</t>
  </si>
  <si>
    <t>085256575355</t>
  </si>
  <si>
    <t>Suhardiansyah</t>
  </si>
  <si>
    <t>081298800372</t>
  </si>
  <si>
    <t>Ibrahim Ningkeula</t>
  </si>
  <si>
    <t>ambon</t>
  </si>
  <si>
    <t>082198985914</t>
  </si>
  <si>
    <t>kencing tidak lancar, setelah kencing masih ada yang menetes. pernah konsultasi dokter dan di diagnosa prostat, pasien sudah dianjurkan operasi namun takut operasi</t>
  </si>
  <si>
    <t>tanya lokasi dan penggunaan BPJS</t>
  </si>
  <si>
    <t>dokter nya tidak kasih angka pembesarannya berapa, hanya dijelaskan kalau ada pembesaran prostat dan perlu di operasi</t>
  </si>
  <si>
    <t>Muliyadi</t>
  </si>
  <si>
    <t>08116571277</t>
  </si>
  <si>
    <t>Billy</t>
  </si>
  <si>
    <t>085296626263</t>
  </si>
  <si>
    <t>ada prostat ukuran 40cc</t>
  </si>
  <si>
    <t>apakah tindakan rezum akan mempengaruhi fungsi ereksi</t>
  </si>
  <si>
    <t>FR meminta penunjang namun tidak di respon</t>
  </si>
  <si>
    <t>Hermansyah</t>
  </si>
  <si>
    <t>083865717521</t>
  </si>
  <si>
    <t>kencing tidak lancar, kadang terasa perih, tidak bisa ereksi. pernah konsul dengan dokter urologi</t>
  </si>
  <si>
    <t>Fiarbawanong</t>
  </si>
  <si>
    <t>089699523106</t>
  </si>
  <si>
    <t>keluhan usus turun, bukan keluhan prostat</t>
  </si>
  <si>
    <t>apakah tindakan rezum tindakan untuk usus turun</t>
  </si>
  <si>
    <t>keluhan tidak berkaitan dengan prostat</t>
  </si>
  <si>
    <t>Kahar</t>
  </si>
  <si>
    <t>089526076744</t>
  </si>
  <si>
    <t>081240846496</t>
  </si>
  <si>
    <t>Surya</t>
  </si>
  <si>
    <t>089689598509</t>
  </si>
  <si>
    <t>pembengkakan prostat 30%</t>
  </si>
  <si>
    <t>FR menanyakan kapan terakhir konsul namun tidak ada balasan</t>
  </si>
  <si>
    <t>Alam Anshary</t>
  </si>
  <si>
    <t>Palu</t>
  </si>
  <si>
    <t>08114583434</t>
  </si>
  <si>
    <t>sering bangun malam untuk kencing  2-3 kali, kadang tersendat kadang juga lancar.</t>
  </si>
  <si>
    <t>FR meminta foto hasil penunjang namun tidak ada balasan</t>
  </si>
  <si>
    <t>Damsyir Karim</t>
  </si>
  <si>
    <t>081274955000</t>
  </si>
  <si>
    <t>sering kencing di malam hari. kencing lancar tapi pancurannya tidak kencang. pernha konsultasi dan ditemukan gejala pembesaran prostat</t>
  </si>
  <si>
    <t>Irwan</t>
  </si>
  <si>
    <t>082287152100</t>
  </si>
  <si>
    <t>prostat sejak tahun 2020. sering kencing di malam hari</t>
  </si>
  <si>
    <t>apa resiko dari tindakan rezum, apakah mengakibatkan impoten? dan apakah bisa menggunakan BPJS</t>
  </si>
  <si>
    <t>Bernandus</t>
  </si>
  <si>
    <t>Makassar</t>
  </si>
  <si>
    <t>085399793078</t>
  </si>
  <si>
    <t>apakah RS Husada ada di makassar</t>
  </si>
  <si>
    <t>FR menanyakan terkait adakah rencana untuk konsul ke RS Husada namun no response</t>
  </si>
  <si>
    <t>Wiyono</t>
  </si>
  <si>
    <t>081332784707</t>
  </si>
  <si>
    <t>Suhardi</t>
  </si>
  <si>
    <t>082376790834</t>
  </si>
  <si>
    <t>susah BAB dan BAK, asam lambung</t>
  </si>
  <si>
    <t>082178544242</t>
  </si>
  <si>
    <t>Bara</t>
  </si>
  <si>
    <t>081114937534</t>
  </si>
  <si>
    <t>Rahmat Hidayatullah</t>
  </si>
  <si>
    <t>Pandeglang</t>
  </si>
  <si>
    <t>081317987294</t>
  </si>
  <si>
    <t>Sakit di perut bawah hingga ke testis, sering kencing, setiap kencing tidak terasa tuntas. sudah berobat ke banyak tempat namun tidak ada perubahan, saat ini rutin berobat di klinik SHL Pandeglang</t>
  </si>
  <si>
    <t>pasien ingin pakai BPJS</t>
  </si>
  <si>
    <t>Sudarman</t>
  </si>
  <si>
    <t>082134668858</t>
  </si>
  <si>
    <t>Ikhlas Razuki</t>
  </si>
  <si>
    <t>Padang</t>
  </si>
  <si>
    <t>081266556666</t>
  </si>
  <si>
    <t>3 bulan terakhir sakit dibagian perut bawah, kalau terkena tekanan seperti ikat pinngang / celana terasa sakit. sempat konsultasi dengan dokter urologi, ditemukan pembesaran prostat jinak. sejauh ini konsumsi obat tidak ada perubahan.</t>
  </si>
  <si>
    <t>Pembesaran prostat jinak 3,8</t>
  </si>
  <si>
    <t>pasien mau konsul di RS setempat dulu saja. pasien sudah pensiun, tidak ada asuransi swasta, berobat dengan BPJS</t>
  </si>
  <si>
    <t>Karsin Kati</t>
  </si>
  <si>
    <t>081342271961</t>
  </si>
  <si>
    <t>domisili jauh</t>
  </si>
  <si>
    <t>Willem Rugebert</t>
  </si>
  <si>
    <t>08111564540</t>
  </si>
  <si>
    <t>Muhammad Nuh</t>
  </si>
  <si>
    <t>087745043712</t>
  </si>
  <si>
    <t>Turah Blaiq</t>
  </si>
  <si>
    <t>085923402388</t>
  </si>
  <si>
    <t>kencing tersendat, kadang ejakulasi terasa perih. sudah pernah ke dokter dan pembesaran prostat</t>
  </si>
  <si>
    <t>Almuhvaidin</t>
  </si>
  <si>
    <t>081391953331</t>
  </si>
  <si>
    <t>ditemukan pembesaran prostat, namun kencingnya lancar</t>
  </si>
  <si>
    <t>Harapan Harita</t>
  </si>
  <si>
    <t>085198564523</t>
  </si>
  <si>
    <t>di diagnosa prostat</t>
  </si>
  <si>
    <t>FR minta hasil penunjang dan keluhan yang dirasakan, no response</t>
  </si>
  <si>
    <t>Tusiman Cheff</t>
  </si>
  <si>
    <t>Ciputat, Tangerang Selatan</t>
  </si>
  <si>
    <t>085717714915</t>
  </si>
  <si>
    <t>sering kencing, sperma sedikit. belum pernah konsul</t>
  </si>
  <si>
    <t>Tanya biaya</t>
  </si>
  <si>
    <t>FR menawarkan konsul ke RS Husada</t>
  </si>
  <si>
    <t>Inyoman Sutarca</t>
  </si>
  <si>
    <t>081353145786</t>
  </si>
  <si>
    <t>riwayat operasi prostat, tiap ereksi pasti mau BAK</t>
  </si>
  <si>
    <t>apakah bisa normal kembali</t>
  </si>
  <si>
    <t>rencana konsul di RS lain tanggal 16 mei</t>
  </si>
  <si>
    <t>Muhammad Zen</t>
  </si>
  <si>
    <t>Palembang</t>
  </si>
  <si>
    <t>08127129321</t>
  </si>
  <si>
    <t>diabetes dan sering kencing di malam hari. belum pernah konsul urologi</t>
  </si>
  <si>
    <t>FR tawarkan konsul dulu untuk selanjutnya hasil pemeriksaannya dikirim ke FR untuk dilihat oleh RC. coba FU kapan rencana konsul sama urologi di palembang</t>
  </si>
  <si>
    <t>Ali Rahman</t>
  </si>
  <si>
    <t>081319021469</t>
  </si>
  <si>
    <t>082262626666</t>
  </si>
  <si>
    <t>081222006554</t>
  </si>
  <si>
    <t>Mustafa Hasan</t>
  </si>
  <si>
    <t>081387457755</t>
  </si>
  <si>
    <t>Akhmad Malik</t>
  </si>
  <si>
    <t>081381534569</t>
  </si>
  <si>
    <t>keluhan prostat dan batu empedu</t>
  </si>
  <si>
    <t>tanya BPJS</t>
  </si>
  <si>
    <t>Li Mei</t>
  </si>
  <si>
    <t>0818890285</t>
  </si>
  <si>
    <t>Impoten</t>
  </si>
  <si>
    <t>jika mau konsul ke dokter apa</t>
  </si>
  <si>
    <t>Mesran Prima</t>
  </si>
  <si>
    <t>kalau gangguan ginjal apakah ada terapi nya</t>
  </si>
  <si>
    <t>Arnold W Rumambi</t>
  </si>
  <si>
    <t>082397804400</t>
  </si>
  <si>
    <t>Edi Supriyanto Tito</t>
  </si>
  <si>
    <t>083874354867</t>
  </si>
  <si>
    <t>sudah berobat sejak lama namun tidak pernah tegak diagnosa. diduga ISK ataupun prostat</t>
  </si>
  <si>
    <t>NGIRIM VN</t>
  </si>
  <si>
    <t>Petrus</t>
  </si>
  <si>
    <t>081253685857</t>
  </si>
  <si>
    <t>pembesaran prostat, sering buang air kecil. terakhir konsul tanggal 9 mei 2026. konsumsi obat tamsulosin dan dutasteride</t>
  </si>
  <si>
    <t>DPH 39 ml</t>
  </si>
  <si>
    <t>Raga Jaya</t>
  </si>
  <si>
    <t>081328881647</t>
  </si>
  <si>
    <t>Noke Sutanto</t>
  </si>
  <si>
    <t>081343150890</t>
  </si>
  <si>
    <t>Rizal Soffie</t>
  </si>
  <si>
    <t>Andi Hamsadar</t>
  </si>
  <si>
    <t>085397213434</t>
  </si>
  <si>
    <t>Andi</t>
  </si>
  <si>
    <t>085869757115</t>
  </si>
  <si>
    <t>Taufan Mallombasang</t>
  </si>
  <si>
    <t>0811435913</t>
  </si>
  <si>
    <t>Simon</t>
  </si>
  <si>
    <t>081295495409</t>
  </si>
  <si>
    <t>setiap malam terbangun untuk kencing rata-rata 2x. tekanan kencing tidak kuat. terkadang tidak sadar malam hari air kencing keluar sendiri. pernah konsul ke urologi dan dinyatakan pembesaran prostat</t>
  </si>
  <si>
    <t>Woko Hartono</t>
  </si>
  <si>
    <t>081382623889</t>
  </si>
  <si>
    <t>tanya biaya dan apakah bisa pakai BPJS</t>
  </si>
  <si>
    <t>Syamsudin Pardede</t>
  </si>
  <si>
    <t>081266339235</t>
  </si>
  <si>
    <t>08123915091</t>
  </si>
  <si>
    <t>apakah di RS Husada ada alat pemeriksaan prostat</t>
  </si>
  <si>
    <t>Cekmu</t>
  </si>
  <si>
    <t>Aceh</t>
  </si>
  <si>
    <t>082176757142</t>
  </si>
  <si>
    <t xml:space="preserve">pipis terasa tidak tuntas, belum pernah konsul </t>
  </si>
  <si>
    <t>jika ke JKT mau konsul ke Husada (belum tau kapan)</t>
  </si>
  <si>
    <t>Hariyadi</t>
  </si>
  <si>
    <t>081318836836</t>
  </si>
  <si>
    <t>13 mei masih di luar kota, jika sedang di Jakarta mau konsul kesini. mohon FU apakah sudah di JKT</t>
  </si>
  <si>
    <t>Ibrahim</t>
  </si>
  <si>
    <t>085893242822</t>
  </si>
  <si>
    <t>3 bulan terakhir sering sakit dibagian bawah perut, dibawah perut suka terdengar seperti kucuran air. kencing setiap malam bisa 3-4x. 3 tahun lalu pernah CT scan dan ditemukan pembesaran prostat. saat ini konsumsi obat Prostakur</t>
  </si>
  <si>
    <t>tidak pegang salinannya</t>
  </si>
  <si>
    <t>FR menawarkan konsul ulang karena konsul terakhirnya sudah lama (3 tahun lalu)</t>
  </si>
  <si>
    <t>Pande Senapati</t>
  </si>
  <si>
    <t>081997167168</t>
  </si>
  <si>
    <t>Djoko Waloejo</t>
  </si>
  <si>
    <t>081221757545</t>
  </si>
  <si>
    <t>Daru Kawantara</t>
  </si>
  <si>
    <t>087775981921</t>
  </si>
  <si>
    <t>Yudirmawan</t>
  </si>
  <si>
    <t>08127908564</t>
  </si>
  <si>
    <t>Effendi Simanjuntak</t>
  </si>
  <si>
    <t>Bogor</t>
  </si>
  <si>
    <t>081521752406</t>
  </si>
  <si>
    <t>saat ini masih minum obat rutin, keluhan prostat tidak terasa mengganggu.</t>
  </si>
  <si>
    <t>tanya biaya dan berapa kali harus tindakan rezum</t>
  </si>
  <si>
    <t>Jeffry Manurung</t>
  </si>
  <si>
    <t>0811193374</t>
  </si>
  <si>
    <t>Fendi</t>
  </si>
  <si>
    <t>085378910345</t>
  </si>
  <si>
    <t>Agus</t>
  </si>
  <si>
    <t>085387874827</t>
  </si>
  <si>
    <t>susah buang air kecil</t>
  </si>
  <si>
    <t>FR menyarankan konsul dulu</t>
  </si>
  <si>
    <t>Pembengkakan prostat 30%</t>
  </si>
  <si>
    <t>FR menanyakan kapan terakhir konsul dan obat apa yang dikonsumsi namun no response</t>
  </si>
  <si>
    <t>Umar Sukmara</t>
  </si>
  <si>
    <t>085945560393</t>
  </si>
  <si>
    <t>batu ginjal sebesar 1 cm di sebelah kanan</t>
  </si>
  <si>
    <t>keluhan pasien tidak mengarah ke prostat</t>
  </si>
  <si>
    <t>Hans Simange</t>
  </si>
  <si>
    <t>082336835091</t>
  </si>
  <si>
    <t>Samuri</t>
  </si>
  <si>
    <t>083854596188</t>
  </si>
  <si>
    <t>Pinggang kiri sakit, BAK tidak lancar</t>
  </si>
  <si>
    <t>FR menanyakan pernah/tidak cek prostat namun tidak dibalas</t>
  </si>
  <si>
    <t>Sutikno</t>
  </si>
  <si>
    <t>081556698220</t>
  </si>
  <si>
    <t>087855073257</t>
  </si>
  <si>
    <t>Nelson Parlindungan</t>
  </si>
  <si>
    <t>081805026473</t>
  </si>
  <si>
    <t>apakah ada di malang</t>
  </si>
  <si>
    <t>Toton Mozin</t>
  </si>
  <si>
    <t>085256888200</t>
  </si>
  <si>
    <t>4 bulan lalu ukuran prostat 36 mg, saat ini konsumsi obat rutin</t>
  </si>
  <si>
    <t>Jhon Edward</t>
  </si>
  <si>
    <t>081266669091</t>
  </si>
  <si>
    <t>085227411188</t>
  </si>
  <si>
    <t>Rustam</t>
  </si>
  <si>
    <t>082281932593</t>
  </si>
  <si>
    <t>sperma tidak bisa keluar</t>
  </si>
  <si>
    <t>087863450107</t>
  </si>
  <si>
    <t>kencing setiap menit, hanya saat tidur malam saja pasien tidak kencing. keluhan sudah dirasakan selama 1 tahun</t>
  </si>
  <si>
    <t>tidak ingat angka pembesarannya, tidak pegang hasil penunjang</t>
  </si>
  <si>
    <t>Thadeus Nani</t>
  </si>
  <si>
    <t>081339068725</t>
  </si>
  <si>
    <t xml:space="preserve">sering kecing malam, hingga 6-8 kali setiap malam, terasa tidak tuntas, tahun 2016 pernah periksa dokter mengatakan terjadi pembesaran prostat </t>
  </si>
  <si>
    <t>LINK PENUNJANG TAHUN 2016</t>
  </si>
  <si>
    <t>Imam Ali Bojonegoro</t>
  </si>
  <si>
    <t>0895370312100</t>
  </si>
  <si>
    <t>kencing kurang lancar, tidak terasa tuntas, nyeri perut bawah. ada riwayat operasi prostat</t>
  </si>
  <si>
    <t>berapa kali perlu terapi rezum dan tanya biaya</t>
  </si>
  <si>
    <t>kondisi pasien pernah kecelakaan kerja sebagai sopir truk, saat ini ikut anak. sehingga tidak mau membebankan anak dengan biaya</t>
  </si>
  <si>
    <t>Muhammad Gazali</t>
  </si>
  <si>
    <t>081140009919</t>
  </si>
  <si>
    <t>apakah cabangnya ada di makassar</t>
  </si>
  <si>
    <t>Wayan Kardita</t>
  </si>
  <si>
    <t>081236428660</t>
  </si>
  <si>
    <t>pembesaran kantung kemih</t>
  </si>
  <si>
    <t>Andyde</t>
  </si>
  <si>
    <t>085375518888</t>
  </si>
  <si>
    <t>sakit perut bagian pinggang kiri bawah, riwayat operasi laser dan dipasangkan selang ke ginjal. tahun 2025 sudah lepas pasang. setiap kencing agak bau, panas dan kuning. sering ada batu berwarna orange yang kluar saat kencing.</t>
  </si>
  <si>
    <t>keluhan tidak mengarah ke prostat, tapi berpotensi untuk di convert rajal ke urologi</t>
  </si>
  <si>
    <t>Maria</t>
  </si>
  <si>
    <t>Flores</t>
  </si>
  <si>
    <t>085338397561</t>
  </si>
  <si>
    <t>suaminya sering kencing, semalaman bisa 20x. buah zakar membesar</t>
  </si>
  <si>
    <t>Endro</t>
  </si>
  <si>
    <t>08121551797</t>
  </si>
  <si>
    <t>kena pembesaran prostat</t>
  </si>
  <si>
    <t>Ramlan Telvis</t>
  </si>
  <si>
    <t>08121239645</t>
  </si>
  <si>
    <t>tanya lokasi dan alur konsultasi</t>
  </si>
  <si>
    <t>Sudarwanto</t>
  </si>
  <si>
    <t>085317229499</t>
  </si>
  <si>
    <t>BAK tidak tuntas</t>
  </si>
  <si>
    <t>Fransiskus Dody Pardede</t>
  </si>
  <si>
    <t>08123503378</t>
  </si>
  <si>
    <t>prostat membengkak dan denyut jantung melemah</t>
  </si>
  <si>
    <t>Artanto</t>
  </si>
  <si>
    <t>Bitung</t>
  </si>
  <si>
    <t>08124455748</t>
  </si>
  <si>
    <t>pasien merasa sepertinya mengalami gejala prostat</t>
  </si>
  <si>
    <t>Ndin Yastan</t>
  </si>
  <si>
    <t>banjarmasin</t>
  </si>
  <si>
    <t>081952787081</t>
  </si>
  <si>
    <t>sering BAK, pernah konsul dan ditemukan adanya pembesaran prostat</t>
  </si>
  <si>
    <t>lupa angka pembesarannya, pemeriksaan 6 bulan lalu. lagi diminta fotonya</t>
  </si>
  <si>
    <t>Benyamin</t>
  </si>
  <si>
    <t>085205971391</t>
  </si>
  <si>
    <t>diagnosa pembesaran prostat, susah buang air kecil. saat ini pakai kateter. konsultasi menggunakan BPJS</t>
  </si>
  <si>
    <t>apakah bisa menggunakan BPJS</t>
  </si>
  <si>
    <t>08131631546</t>
  </si>
  <si>
    <t>081281007966</t>
  </si>
  <si>
    <t>Palangka Raya</t>
  </si>
  <si>
    <t>085249044559</t>
  </si>
  <si>
    <t>susah pipis. pembesaran prostat dan ada pasir di ginjal. sejauh ini penanganannya hanya dengan konsumsi obat herbal</t>
  </si>
  <si>
    <t>kalo gasalah pembesarannya di angka 85</t>
  </si>
  <si>
    <t>082225111057</t>
  </si>
  <si>
    <t>Asril</t>
  </si>
  <si>
    <t>081365367972</t>
  </si>
  <si>
    <t>BAK sakit, dubur sakit, kata RS Adnan WD Payakumbuh Infeksi Saluran Kemih (ISK).</t>
  </si>
  <si>
    <t>Kiagus Muhammad Faisal</t>
  </si>
  <si>
    <t>081367780494</t>
  </si>
  <si>
    <t>pembesaran prostat</t>
  </si>
  <si>
    <t>angka pembesaran 60</t>
  </si>
  <si>
    <t>0895405292413</t>
  </si>
  <si>
    <t>penderita prostat sudah 3 tahun, setiap berobat tidak berangsur membaik</t>
  </si>
  <si>
    <t>089661724876</t>
  </si>
  <si>
    <t>malam bisa kencing 7x</t>
  </si>
  <si>
    <t>085270068416</t>
  </si>
  <si>
    <t>082346408050</t>
  </si>
  <si>
    <t>batu ginjal dan prostat, sering BAK, ejakulasi tidak tuntas</t>
  </si>
  <si>
    <t>tanya biaya dan apakah bisa pake BPJS</t>
  </si>
  <si>
    <t>Hasil CT scan 2 tahun yg lalu dg ukuran 4,3x3,8x4,6 cm, vol. 39 gram</t>
  </si>
  <si>
    <t>081314499903</t>
  </si>
  <si>
    <t>Bandung</t>
  </si>
  <si>
    <t>082219099379</t>
  </si>
  <si>
    <t>tindakan rezum itu apa, dan tanya BPJS</t>
  </si>
  <si>
    <t>0811760171</t>
  </si>
  <si>
    <t>081344923600</t>
  </si>
  <si>
    <t>pasien dokter egi, pernah tindakan batu kandung kemih di RS Husada</t>
  </si>
  <si>
    <t>gak inget pembesarannya brp, udah 3 tahun yll</t>
  </si>
  <si>
    <t>Marselus Damat</t>
  </si>
  <si>
    <t>NTT</t>
  </si>
  <si>
    <t>081283822269</t>
  </si>
  <si>
    <t>jika banyak minum air, jadi sering BAK. belum pernah konsul ke dokter</t>
  </si>
  <si>
    <t>FR mengarahkan pasien untuk konsul dulu di NTT. boleh FU apakah sudah konsul</t>
  </si>
  <si>
    <t>081293244411</t>
  </si>
  <si>
    <t>08118000756</t>
  </si>
  <si>
    <t>08174822034</t>
  </si>
  <si>
    <t>Pembesaran prostat, kencing lancar tapi masih ada yang netes. terakhir konsul urologi tahn 2024, tidak rutin cek</t>
  </si>
  <si>
    <t>083897788998</t>
  </si>
  <si>
    <t>Yosep</t>
  </si>
  <si>
    <t>082254327296</t>
  </si>
  <si>
    <t>sering kencing malam hari antara 5-7x</t>
  </si>
  <si>
    <t>pasien mengakhiri percakapan setelah mengetahui rezum tidak bisa pake BPJS</t>
  </si>
  <si>
    <t>085219371517</t>
  </si>
  <si>
    <t>085772712931</t>
  </si>
  <si>
    <t>085368451999</t>
  </si>
  <si>
    <t>ada pembesaran prostat di angka 36. dari dokter sebelumnya hanya disarankan konsumsi obat. kalau tidak minum obat, bisa kencing 6-8x di malam hari. kencing terasa tidak tuntas dan lemah</t>
  </si>
  <si>
    <t>Purbalingga</t>
  </si>
  <si>
    <t>087845333236</t>
  </si>
  <si>
    <t>pembengkakan prostat, terakhir konsultasi 5 bulan lalu</t>
  </si>
  <si>
    <t>pasien gak ingat angka pembesaran, pasien gak pegang penunjangnya</t>
  </si>
  <si>
    <t>FR menyarankan konsultasi ke urologi dulu, mengingat pasiennya serba gatau hasil pemeriksaannya... mohon dibantu FU apakah pasien sudah konsul</t>
  </si>
  <si>
    <t>081373209530</t>
  </si>
  <si>
    <t>Oscar</t>
  </si>
  <si>
    <t>081338997887</t>
  </si>
  <si>
    <t>domisili nya jauh</t>
  </si>
  <si>
    <t>palembang</t>
  </si>
  <si>
    <t>082181409888</t>
  </si>
  <si>
    <t>sudah tegak diganosa prostat</t>
  </si>
  <si>
    <t>pembesaran di angka 35%</t>
  </si>
  <si>
    <t>0818599017</t>
  </si>
  <si>
    <t>pembesaran prostat, disarankan operasi, namun batal karena dari dokter anestesi tidak ACC karena pasien kena sakit jantung</t>
  </si>
  <si>
    <t>081340145337</t>
  </si>
  <si>
    <t>085222220701</t>
  </si>
  <si>
    <t>082284001569</t>
  </si>
  <si>
    <t>082243777789</t>
  </si>
  <si>
    <t>Eko Nugroho</t>
  </si>
  <si>
    <t>cinere</t>
  </si>
  <si>
    <t>081284393989</t>
  </si>
  <si>
    <t>mengalami pembesaran prostat setiap malam, 2 jam sekali hrs buang air kecil</t>
  </si>
  <si>
    <t>minggu depan baru mau USG</t>
  </si>
  <si>
    <t>mohon di FU kembali hasil USG terbaru pasien</t>
  </si>
  <si>
    <t>Benny</t>
  </si>
  <si>
    <t>087853585130</t>
  </si>
  <si>
    <t>BPH, kesulitan pipis, peserta BPJS. 20 tahun lalu tindakan uretra, 6 tahun lalu operasi prostat, beberapa kali businasi. pasien tidak konsumsi obat prostat, hanya obat hypertensi amlodipine dan candesartan</t>
  </si>
  <si>
    <t>087890212343</t>
  </si>
  <si>
    <t>082175834809</t>
  </si>
  <si>
    <t>Tomy Nurzaini</t>
  </si>
  <si>
    <t>082312884317</t>
  </si>
  <si>
    <t>Penis loyo, kencing kurang kuat keluar</t>
  </si>
  <si>
    <t>Basuki Atmodjo</t>
  </si>
  <si>
    <t>Purwokerto</t>
  </si>
  <si>
    <t>082261692017</t>
  </si>
  <si>
    <t>domisili pasien jauh</t>
  </si>
  <si>
    <t>Farid Azis</t>
  </si>
  <si>
    <t>sekarang lagi minum obat harnal 0.2, minum obat ini berapa lama?</t>
  </si>
  <si>
    <t>FR menanyakan arahan dari dokter urologi nya seperti apa</t>
  </si>
  <si>
    <t>0811292947</t>
  </si>
  <si>
    <t>Heri Zakura</t>
  </si>
  <si>
    <t>082342094350</t>
  </si>
  <si>
    <t>Pembesaran prostat jinak</t>
  </si>
  <si>
    <t>085801030050</t>
  </si>
  <si>
    <t>081322635959</t>
  </si>
  <si>
    <t>081288267277</t>
  </si>
  <si>
    <t>082151367345</t>
  </si>
  <si>
    <t>Syarifundin</t>
  </si>
  <si>
    <t>081356499760</t>
  </si>
  <si>
    <t>081241010931</t>
  </si>
  <si>
    <t>083872287333</t>
  </si>
  <si>
    <t>malam sering kencing, kencing tidak tuntas, kencing berbau dan berbusa. belum pernah periksa prostat</t>
  </si>
  <si>
    <t>0811123504</t>
  </si>
  <si>
    <t>Robert Oei</t>
  </si>
  <si>
    <t>085262202526</t>
  </si>
  <si>
    <t>Setelah Resum prostat.
1. apakah Fungsi ereksi membaik berapa %
2. Apakah sperma dapat keluar dgn normal.
3. Berapa lama tindakan Resum tsb
4. Berapa lama harus istirahat/ olah-raga.
5. Berapa biaya Resum tsb.untuk prostat sy yang sudah membesar ukuran 35.</t>
  </si>
  <si>
    <t>ukuran pembesaran prostat 35</t>
  </si>
  <si>
    <t>Junaidi Juned</t>
  </si>
  <si>
    <t>081287046168</t>
  </si>
  <si>
    <t>081342637111</t>
  </si>
  <si>
    <t>081315395115</t>
  </si>
  <si>
    <t>08161838943</t>
  </si>
  <si>
    <t>Pembesaran prostat sebelumnya di ukuran 32, saat ini sekitar 25</t>
  </si>
  <si>
    <t>Felis</t>
  </si>
  <si>
    <t>08123771527</t>
  </si>
  <si>
    <t>tiap malam BAK sampai 6x. pernah tindakan keruk tahun 2017 dan 2020.</t>
  </si>
  <si>
    <t>081283793708</t>
  </si>
  <si>
    <t>tanya lokasi dan tanya BPJS</t>
  </si>
  <si>
    <t>087788007397</t>
  </si>
  <si>
    <t>malma bisa pipis 8x, susah keluar bahkan pernah tidak keluar sama sekali. sudah pernah laser 2x</t>
  </si>
  <si>
    <t>082166005812</t>
  </si>
  <si>
    <t>Arifin Pamu</t>
  </si>
  <si>
    <t>081355998191</t>
  </si>
  <si>
    <t xml:space="preserve">masih kontrol di RS Bhayangkari Makassar menggunakan jaminan BPJS. Sebetulnya sudah dianjurkan operasi laser, namun mendengar testimoni pasien lain bahwa setelah laser kencingnya tidak terasa dan keluar begitu saja. pasien jadi takut </t>
  </si>
  <si>
    <t>085358672820</t>
  </si>
  <si>
    <t>081354699888</t>
  </si>
  <si>
    <t>sering buang air kecil dimalam hari dan nyeri</t>
  </si>
  <si>
    <t>082190026389</t>
  </si>
  <si>
    <t>081269681961</t>
  </si>
  <si>
    <t>08125963566</t>
  </si>
  <si>
    <t>081237542523</t>
  </si>
  <si>
    <t>082394479397</t>
  </si>
  <si>
    <t>085348028717</t>
  </si>
  <si>
    <t>085757020102</t>
  </si>
  <si>
    <t>Paul Amalo</t>
  </si>
  <si>
    <t>085693290484</t>
  </si>
  <si>
    <t>Amiruddin H. Sihombing</t>
  </si>
  <si>
    <t>08126511028</t>
  </si>
  <si>
    <t>kalau malam pipis nya tidak tuntas (3x keluar baru tuntas). jika di toilet duduk bisa 15 menit, kalau di toilet jongkok bisa lebih cepat.</t>
  </si>
  <si>
    <t>Heri Setiawan</t>
  </si>
  <si>
    <t>085220210366</t>
  </si>
  <si>
    <t>RM Naibaho</t>
  </si>
  <si>
    <t>081361019168</t>
  </si>
  <si>
    <t>0895366129790</t>
  </si>
  <si>
    <t>08123666590</t>
  </si>
  <si>
    <t>Nio Nicky</t>
  </si>
  <si>
    <t>081289889219</t>
  </si>
  <si>
    <t>Moh Thoha</t>
  </si>
  <si>
    <t>085337886795</t>
  </si>
  <si>
    <t>Hulil R</t>
  </si>
  <si>
    <t>081318788044</t>
  </si>
  <si>
    <t>081345346288</t>
  </si>
  <si>
    <t>Azwar</t>
  </si>
  <si>
    <t>085274440441</t>
  </si>
  <si>
    <t>Daniel Malute</t>
  </si>
  <si>
    <t>0811481385</t>
  </si>
  <si>
    <t xml:space="preserve">keluhan sering BAK, bisa 4-5x terutama di malam hari. </t>
  </si>
  <si>
    <t>Jalaludin</t>
  </si>
  <si>
    <t>Bengkulu</t>
  </si>
  <si>
    <t>085379990313</t>
  </si>
  <si>
    <t>USG 2 minggu lalu dinyatakan ada pembengkakan prostat. saat ini terapi obat Urief selama 2 minggu. keluhannya sakit pinggang dan nyeri di perut bawah pangkal kemaluan. sering kencing dan tersendat-sendat, terutama pagi dan malam hari</t>
  </si>
  <si>
    <t>Ridwan</t>
  </si>
  <si>
    <t>Tasikmalaya</t>
  </si>
  <si>
    <t>081214146222</t>
  </si>
  <si>
    <t>sering kencing pagi dan malam namun lancar. cukup mengganggu aktivitas terutama saat tidur malam</t>
  </si>
  <si>
    <t>081277791859</t>
  </si>
  <si>
    <t>Ricky</t>
  </si>
  <si>
    <t>081240287015</t>
  </si>
  <si>
    <t>ISK, terakhir konsultasi 4 hari yang lalu</t>
  </si>
  <si>
    <t>08123998781</t>
  </si>
  <si>
    <t>pembesaran prostat sudah 4 bulan dengan ukuran 7. pasien konsumsi obat urief 4 mg dan dutasteride 0,5 mg. pasien minum herbal prostanore.</t>
  </si>
  <si>
    <t>FR menanyakan apakah masih rutin berobat dan meminta foto penunjang namun tidak dibalas</t>
  </si>
  <si>
    <t>08123412916</t>
  </si>
  <si>
    <t>BAK mulai tidak lancar</t>
  </si>
  <si>
    <t>085716620999</t>
  </si>
  <si>
    <t>Suherdi Huang</t>
  </si>
  <si>
    <t>081393989898</t>
  </si>
  <si>
    <t>081244998979</t>
  </si>
  <si>
    <t>081291080634</t>
  </si>
  <si>
    <t>Mardi</t>
  </si>
  <si>
    <t>081226902528</t>
  </si>
  <si>
    <t>ada keluhan sering kencing, tidak tuntas. hasil diagnosa RSU Kebumen Saya terkena BPH,volume 36 ml. kemudian menjalani pengobatan selama 1 tahun (2024), th 2025 berhenti obat sampai sekarang</t>
  </si>
  <si>
    <t xml:space="preserve">kalau operasi rezum perlu kunjungan berapa kali dan membutuhkan biaya sekitar berapa. </t>
  </si>
  <si>
    <t>BPH volume 36 ml</t>
  </si>
  <si>
    <t>Komarudin</t>
  </si>
  <si>
    <t>Purwakarta</t>
  </si>
  <si>
    <t>0811922325</t>
  </si>
  <si>
    <t>Sering kencing malam hari dan terasa tidak tuntas</t>
  </si>
  <si>
    <t>085101795700</t>
  </si>
  <si>
    <t>Uju Juardi</t>
  </si>
  <si>
    <t>08179836764</t>
  </si>
  <si>
    <t>Sammy Saputra</t>
  </si>
  <si>
    <t>Ambon</t>
  </si>
  <si>
    <t>082199554677</t>
  </si>
  <si>
    <t>Tahun 2023 pernah operasi prostat hingga melebihi batas sehingga ada sisa yang tidak terkeruk. di tangani oleh dr. Cahyo Ari Wijaksono di RS Ambon dengan operasi TURP menggunakan jaminan BPJS</t>
  </si>
  <si>
    <t>Relya Nesrah</t>
  </si>
  <si>
    <t>08124006669</t>
  </si>
  <si>
    <t>sudah pernah periksa prostat tanggal 24 Maret. nyeri di pantat, perut bawah, setelah di USG ternyata ada pembengkakan pada prostat. terkadang kencing tidak lancar, setelah kencing nanti kencing lagi</t>
  </si>
  <si>
    <t>Pembesaran di ukuran 30 cm..?</t>
  </si>
  <si>
    <t>Luthfi Hasan</t>
  </si>
  <si>
    <t>0811715857</t>
  </si>
  <si>
    <t>sering BAK di malam hari, tidak lancar, dan pinggang nyeri. hasil prostatic nya bagus</t>
  </si>
  <si>
    <t>081283441493</t>
  </si>
  <si>
    <t>sudah 5 tahun berobat prostat, konsumsi Tamsulosin</t>
  </si>
  <si>
    <r>
      <rPr>
        <color rgb="FF434343"/>
        <u/>
      </rPr>
      <t>LINK PENUNJANG</t>
    </r>
    <r>
      <rPr>
        <color rgb="FF1F1F1F"/>
      </rPr>
      <t xml:space="preserve"> JULI 2025</t>
    </r>
  </si>
  <si>
    <t>J Munthe</t>
  </si>
  <si>
    <t>081380703322</t>
  </si>
  <si>
    <t>susah BAK dan lemah ereksi. sudah pernah periksa ke dokter</t>
  </si>
  <si>
    <t>082199334334</t>
  </si>
  <si>
    <t>nyeri jika BAK, malam hari ke kamar mandi 2x</t>
  </si>
  <si>
    <t>Maderaksawan</t>
  </si>
  <si>
    <t>081930209643</t>
  </si>
  <si>
    <t>pembengkakan prostat dan ada batu di kandung kemih. keluhannya terasa anyang-anyang. sudah pernah USG</t>
  </si>
  <si>
    <t>Arhawi</t>
  </si>
  <si>
    <t>081141901445</t>
  </si>
  <si>
    <t>Antho</t>
  </si>
  <si>
    <t>081283727626</t>
  </si>
  <si>
    <t>085858698590</t>
  </si>
  <si>
    <t>082245013555</t>
  </si>
  <si>
    <t>081241210708</t>
  </si>
  <si>
    <t>Trisno Mulyono</t>
  </si>
  <si>
    <t>081347801409</t>
  </si>
  <si>
    <t>Gusti Ngurah Hendrawan</t>
  </si>
  <si>
    <t>081225362503</t>
  </si>
  <si>
    <t>susah BAK. masih minum obat dokter Harnal atau urotracin</t>
  </si>
  <si>
    <t>terakhir besarnya 80 m, sebelumnya 100m. akhir bulan Mei baru akan USG lagi</t>
  </si>
  <si>
    <t>FU penunjang terbaru USG di akhir Mei</t>
  </si>
  <si>
    <t>087741658215</t>
  </si>
  <si>
    <t>085808156679</t>
  </si>
  <si>
    <t>Hotma Siregar</t>
  </si>
  <si>
    <t>081919192000</t>
  </si>
  <si>
    <t>Kalau malam bolak-balik ke kamar mandi. pernah di informasikan oleh dokter urologi kalau semur hidup harus konsumsi Harnal Ocas + Prostacom</t>
  </si>
  <si>
    <t>Marten Tualaka</t>
  </si>
  <si>
    <t>081298885175</t>
  </si>
  <si>
    <t>I Nyoman Nitar</t>
  </si>
  <si>
    <t>081338090598</t>
  </si>
  <si>
    <t>Setiap malam kencing 5-7x. sudah pernah periksa ke dokter</t>
  </si>
  <si>
    <t>Ahmad Dahlan</t>
  </si>
  <si>
    <t>082341178310</t>
  </si>
  <si>
    <t>sering BAK setiap satu jam tapi tidak lancar, berbusa, kadang setelah kencing terasa panas dan perih. sudah tidak bisa ereksi dan sex drive menurun. pernah cek ke dokter infonya ISK</t>
  </si>
  <si>
    <t>Abdul Malik Bin Abdulla</t>
  </si>
  <si>
    <t>085831587860</t>
  </si>
  <si>
    <t>Nur Rachman</t>
  </si>
  <si>
    <t>085787047178</t>
  </si>
  <si>
    <t>Chairul Azmi</t>
  </si>
  <si>
    <t>082288201911</t>
  </si>
  <si>
    <t>Kencing tersendat, semakin hari semakin sulit kencing kecuali minum obat Harnal. sudah pernah periksa ke dokter</t>
  </si>
  <si>
    <t>Rui Gonsalves</t>
  </si>
  <si>
    <t>082325247444</t>
  </si>
  <si>
    <t>Yohanes Sikumbang</t>
  </si>
  <si>
    <t>08127004519</t>
  </si>
  <si>
    <t>082162413126</t>
  </si>
  <si>
    <t>BAK kurang lancar</t>
  </si>
  <si>
    <t>081385425883</t>
  </si>
  <si>
    <t>Marthen R Tondok</t>
  </si>
  <si>
    <t>0811415124</t>
  </si>
  <si>
    <t>081212026468</t>
  </si>
  <si>
    <t>Yamin Husain</t>
  </si>
  <si>
    <t>Sulawesi Barat</t>
  </si>
  <si>
    <t>085255446370</t>
  </si>
  <si>
    <t>sering BAK</t>
  </si>
  <si>
    <t>Syukri Leonardi</t>
  </si>
  <si>
    <t>08127381976</t>
  </si>
  <si>
    <t>Hendry Helmanto</t>
  </si>
  <si>
    <t>Karang Anyar</t>
  </si>
  <si>
    <t>081212789505</t>
  </si>
  <si>
    <t>pembesaran prostat, saat ini konsumsi dutasteride dan tamsulosin</t>
  </si>
  <si>
    <t>tanya cara kerja rezum dan tanya biaya</t>
  </si>
  <si>
    <t>Prostat ukuran 60</t>
  </si>
  <si>
    <t>085756059472</t>
  </si>
  <si>
    <t>Putu Arta Wiadnyana</t>
  </si>
  <si>
    <t>081237606471</t>
  </si>
  <si>
    <t>Syamsudin</t>
  </si>
  <si>
    <t>085237392295</t>
  </si>
  <si>
    <t>tiap malam kencing 3-4x, nyeri bila BAK, sudah lama tidak ereksi, kata dokter ada pembengkakan prostat</t>
  </si>
  <si>
    <t>Angka pembesaran prostat di angka 30</t>
  </si>
  <si>
    <t>Agus Putra</t>
  </si>
  <si>
    <t>081369619101</t>
  </si>
  <si>
    <t>Jiwa Shofari</t>
  </si>
  <si>
    <t>081369664573</t>
  </si>
  <si>
    <t>0895415344001</t>
  </si>
  <si>
    <t>Pemeriksaan tgl 7 Mei 2026
Hasil USG Prostat : 4.37x4.39x3.53
Volume : 35.44 ml</t>
  </si>
  <si>
    <t>Budi Marsono</t>
  </si>
  <si>
    <t>089612254456</t>
  </si>
  <si>
    <t>081399456771</t>
  </si>
  <si>
    <t>Putu Dika</t>
  </si>
  <si>
    <t>085737187145</t>
  </si>
  <si>
    <t>Arkun Renan</t>
  </si>
  <si>
    <t>08111461118</t>
  </si>
  <si>
    <t>088271082791</t>
  </si>
  <si>
    <t>Yohanes</t>
  </si>
  <si>
    <t>082329196681</t>
  </si>
  <si>
    <t xml:space="preserve">terakhir konsultasi dengan dokter urologi bulan Oktober 2025. keluhan sering BAK di malam hari. tahun 2024 pernah ada riwayat batu di luar saluran ginjal. setelah itu dipasangkan selang, diberi tindakan teropong dan juga ESWL. setelah di CT scan ditemukan adanya hernia yang perlu di operasi. dokter menginformasikan bahwa adanya hernia karena konsumsi obat pembesaran prostat supaya peluruhan batu lebih mudah melalui urin. </t>
  </si>
  <si>
    <t>Ahmady</t>
  </si>
  <si>
    <t>082188032101</t>
  </si>
  <si>
    <t>Prostat bengkak</t>
  </si>
  <si>
    <t>volume -+ di 37 ml</t>
  </si>
  <si>
    <t>083114497878</t>
  </si>
  <si>
    <t>Sugianto</t>
  </si>
  <si>
    <t>Sumatera Selatan</t>
  </si>
  <si>
    <t>081281941970</t>
  </si>
  <si>
    <t>Prostatis</t>
  </si>
  <si>
    <t>Nasrul</t>
  </si>
  <si>
    <t>Sumatera Barat</t>
  </si>
  <si>
    <t>085221621937</t>
  </si>
  <si>
    <t>sering kencing namun terasa tidak tuntas, pancaran lemah</t>
  </si>
  <si>
    <t>089656416883</t>
  </si>
  <si>
    <t>Setiono</t>
  </si>
  <si>
    <t>089506809156</t>
  </si>
  <si>
    <t>081247518961</t>
  </si>
  <si>
    <t>Djoko Aviantoro</t>
  </si>
  <si>
    <t>08114314430</t>
  </si>
  <si>
    <t>Nurdin</t>
  </si>
  <si>
    <t>088261799439</t>
  </si>
  <si>
    <t>Mardi Sutikno</t>
  </si>
  <si>
    <t>082221188964</t>
  </si>
  <si>
    <t>Erlangga</t>
  </si>
  <si>
    <t>082186727333</t>
  </si>
  <si>
    <t>keluhan berkemih 5-11x di malam hari, dan 7x di siang hari. pasien juga ada keluhan diabetes. kadar gula 200-300</t>
  </si>
  <si>
    <t>Welly</t>
  </si>
  <si>
    <t>085100107683</t>
  </si>
  <si>
    <t>Pancaran kencing tidak kuat</t>
  </si>
  <si>
    <t>Luthfi</t>
  </si>
  <si>
    <t>081241061930</t>
  </si>
  <si>
    <t>Patient Project Dashboard</t>
  </si>
  <si>
    <t>Total Patients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</si>
</sst>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9">
    <font>
      <sz val="10.0"/>
      <color rgb="FF000000"/>
      <name val="Arial"/>
      <scheme val="minor"/>
    </font>
    <font>
      <color theme="1"/>
      <name val="Arial"/>
      <scheme val="minor"/>
    </font>
    <font>
      <u/>
      <color rgb="FF434343"/>
      <name val="Roboto"/>
    </font>
    <font>
      <u/>
      <color rgb="FF0000FF"/>
      <name val="Roboto"/>
    </font>
    <font>
      <color rgb="FF000000"/>
      <name val="Arial"/>
      <scheme val="minor"/>
    </font>
    <font>
      <u/>
      <color rgb="FF434343"/>
      <name val="Roboto"/>
    </font>
    <font>
      <u/>
      <color rgb="FF0000FF"/>
      <name val="Roboto"/>
    </font>
    <font>
      <color theme="1"/>
      <name val="Roboto"/>
    </font>
    <font>
      <b/>
      <sz val="24.0"/>
      <color rgb="FF35608D"/>
      <name val="Montserrat"/>
    </font>
  </fonts>
  <fills count="5">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F7F8FF"/>
        <bgColor rgb="FFF7F8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0"/>
    </xf>
    <xf borderId="1" fillId="0" fontId="1" numFmtId="49" xfId="0" applyAlignment="1" applyBorder="1" applyFont="1" applyNumberFormat="1">
      <alignment readingOrder="0" shrinkToFit="0" vertical="center" wrapText="1"/>
    </xf>
    <xf borderId="1" fillId="0" fontId="1" numFmtId="0" xfId="0" applyAlignment="1" applyBorder="1" applyFont="1">
      <alignment horizontal="center" shrinkToFit="0" vertical="center" wrapText="0"/>
    </xf>
    <xf quotePrefix="1" borderId="1" fillId="0" fontId="1" numFmtId="0" xfId="0" applyAlignment="1" applyBorder="1" applyFont="1">
      <alignment horizontal="center" readingOrder="0" shrinkToFit="0" vertical="center" wrapText="0"/>
    </xf>
    <xf borderId="1" fillId="0" fontId="1" numFmtId="0" xfId="0" applyAlignment="1" applyBorder="1" applyFont="1">
      <alignment shrinkToFit="0" vertical="center" wrapText="1"/>
    </xf>
    <xf borderId="1" fillId="0" fontId="1" numFmtId="0" xfId="0" applyAlignment="1" applyBorder="1" applyFont="1">
      <alignment readingOrder="0" shrinkToFit="0" vertical="center" wrapText="0"/>
    </xf>
    <xf borderId="1" fillId="0" fontId="1" numFmtId="164" xfId="0" applyAlignment="1" applyBorder="1" applyFont="1" applyNumberFormat="1">
      <alignment readingOrder="0" shrinkToFit="0" vertical="center" wrapText="0"/>
    </xf>
    <xf borderId="1" fillId="0" fontId="1" numFmtId="164" xfId="0" applyAlignment="1" applyBorder="1" applyFont="1" applyNumberFormat="1">
      <alignment horizontal="center" readingOrder="0" shrinkToFit="0" vertical="center" wrapText="0"/>
    </xf>
    <xf borderId="1" fillId="0" fontId="1" numFmtId="164" xfId="0" applyAlignment="1" applyBorder="1" applyFont="1" applyNumberFormat="1">
      <alignment shrinkToFit="0" vertical="center" wrapText="0"/>
    </xf>
    <xf borderId="1" fillId="0" fontId="1" numFmtId="0" xfId="0" applyAlignment="1" applyBorder="1" applyFont="1">
      <alignment horizontal="center" readingOrder="0" shrinkToFit="0" vertical="center" wrapText="0"/>
    </xf>
    <xf borderId="1" fillId="0" fontId="1" numFmtId="0" xfId="0" applyAlignment="1" applyBorder="1" applyFont="1">
      <alignment readingOrder="0" shrinkToFit="0" vertical="center" wrapText="1"/>
    </xf>
    <xf borderId="1" fillId="0" fontId="1" numFmtId="49" xfId="0" applyAlignment="1" applyBorder="1" applyFont="1" applyNumberFormat="1">
      <alignment readingOrder="0" shrinkToFit="0" vertical="center" wrapText="0"/>
    </xf>
    <xf borderId="1" fillId="0" fontId="1" numFmtId="0" xfId="0" applyAlignment="1" applyBorder="1" applyFont="1">
      <alignment shrinkToFit="0" vertical="center" wrapText="0"/>
    </xf>
    <xf borderId="1" fillId="0" fontId="2" numFmtId="49" xfId="0" applyAlignment="1" applyBorder="1" applyFont="1" applyNumberFormat="1">
      <alignment readingOrder="0" shrinkToFit="0" vertical="center" wrapText="1"/>
    </xf>
    <xf borderId="1" fillId="0" fontId="1" numFmtId="49" xfId="0" applyAlignment="1" applyBorder="1" applyFont="1" applyNumberFormat="1">
      <alignment shrinkToFit="0" vertical="center" wrapText="1"/>
    </xf>
    <xf borderId="1" fillId="0" fontId="1" numFmtId="0" xfId="0" applyAlignment="1" applyBorder="1" applyFont="1">
      <alignment horizontal="center" shrinkToFit="0" vertical="center" wrapText="0"/>
    </xf>
    <xf borderId="1" fillId="0" fontId="1" numFmtId="0" xfId="0" applyAlignment="1" applyBorder="1" applyFont="1">
      <alignment shrinkToFit="0" vertical="center" wrapText="1"/>
    </xf>
    <xf borderId="1" fillId="0" fontId="3" numFmtId="49" xfId="0" applyAlignment="1" applyBorder="1" applyFont="1" applyNumberFormat="1">
      <alignment readingOrder="0" shrinkToFit="0" vertical="center" wrapText="1"/>
    </xf>
    <xf borderId="1" fillId="0" fontId="1" numFmtId="0" xfId="0" applyAlignment="1" applyBorder="1" applyFont="1">
      <alignment readingOrder="0" shrinkToFit="0" vertical="center" wrapText="0"/>
    </xf>
    <xf borderId="1" fillId="0" fontId="1" numFmtId="49" xfId="0" applyAlignment="1" applyBorder="1" applyFont="1" applyNumberFormat="1">
      <alignment shrinkToFit="0" vertical="center" wrapText="0"/>
    </xf>
    <xf borderId="1" fillId="2" fontId="1" numFmtId="0" xfId="0" applyAlignment="1" applyBorder="1" applyFill="1" applyFont="1">
      <alignment readingOrder="0" shrinkToFit="0" vertical="center" wrapText="1"/>
    </xf>
    <xf quotePrefix="1" borderId="1" fillId="0" fontId="1" numFmtId="49" xfId="0" applyAlignment="1" applyBorder="1" applyFont="1" applyNumberFormat="1">
      <alignment readingOrder="0" shrinkToFit="0" vertical="center" wrapText="1"/>
    </xf>
    <xf quotePrefix="1" borderId="1" fillId="0" fontId="1" numFmtId="0" xfId="0" applyAlignment="1" applyBorder="1" applyFont="1">
      <alignment horizontal="center" readingOrder="0" shrinkToFit="0" vertical="center" wrapText="1"/>
    </xf>
    <xf borderId="1" fillId="0" fontId="4" numFmtId="0" xfId="0" applyAlignment="1" applyBorder="1" applyFont="1">
      <alignment readingOrder="0" shrinkToFit="0" vertical="center" wrapText="1"/>
    </xf>
    <xf borderId="1" fillId="0" fontId="5" numFmtId="49" xfId="0" applyAlignment="1" applyBorder="1" applyFont="1" applyNumberFormat="1">
      <alignment readingOrder="0" shrinkToFit="0" vertical="center" wrapText="0"/>
    </xf>
    <xf borderId="1" fillId="0" fontId="1"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1" fillId="3" fontId="1" numFmtId="0" xfId="0" applyAlignment="1" applyBorder="1" applyFill="1" applyFont="1">
      <alignment readingOrder="0" shrinkToFit="0" vertical="center" wrapText="1"/>
    </xf>
    <xf borderId="1" fillId="0" fontId="1" numFmtId="164" xfId="0" applyAlignment="1" applyBorder="1" applyFont="1" applyNumberFormat="1">
      <alignment horizontal="center" shrinkToFit="0" vertical="center" wrapText="0"/>
    </xf>
    <xf borderId="0" fillId="0" fontId="1" numFmtId="49" xfId="0" applyAlignment="1" applyFont="1" applyNumberFormat="1">
      <alignment readingOrder="0" shrinkToFit="0" vertical="center" wrapText="1"/>
    </xf>
    <xf borderId="0" fillId="0" fontId="1" numFmtId="0" xfId="0" applyAlignment="1" applyFont="1">
      <alignment horizontal="center" readingOrder="0" shrinkToFit="0" vertical="center" wrapText="0"/>
    </xf>
    <xf quotePrefix="1" borderId="0" fillId="0" fontId="1" numFmtId="0" xfId="0" applyAlignment="1" applyFont="1">
      <alignment horizontal="center" readingOrder="0" shrinkToFit="0" vertical="center"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49" xfId="0" applyAlignment="1" applyFont="1" applyNumberFormat="1">
      <alignment shrinkToFit="0" vertical="center" wrapText="1"/>
    </xf>
    <xf borderId="0" fillId="0" fontId="1" numFmtId="0" xfId="0" applyAlignment="1" applyFont="1">
      <alignment shrinkToFit="0" vertical="center" wrapText="0"/>
    </xf>
    <xf borderId="0" fillId="0" fontId="1" numFmtId="164" xfId="0" applyAlignment="1" applyFont="1" applyNumberFormat="1">
      <alignment shrinkToFit="0" vertical="center" wrapText="0"/>
    </xf>
    <xf borderId="0" fillId="0" fontId="1" numFmtId="164" xfId="0" applyAlignment="1" applyFont="1" applyNumberFormat="1">
      <alignment horizontal="center" shrinkToFit="0" vertical="center" wrapText="0"/>
    </xf>
    <xf borderId="0" fillId="0" fontId="1" numFmtId="0" xfId="0" applyAlignment="1" applyFont="1">
      <alignment horizontal="center" shrinkToFit="0" vertical="center" wrapText="0"/>
    </xf>
    <xf borderId="0" fillId="0" fontId="1" numFmtId="164" xfId="0" applyAlignment="1" applyFont="1" applyNumberFormat="1">
      <alignment horizontal="center" readingOrder="0" shrinkToFit="0" vertical="center" wrapText="0"/>
    </xf>
    <xf borderId="0" fillId="0" fontId="1" numFmtId="0" xfId="0" applyAlignment="1" applyFont="1">
      <alignment readingOrder="0" shrinkToFit="0" vertical="center" wrapText="0"/>
    </xf>
    <xf borderId="0" fillId="0" fontId="6" numFmtId="49" xfId="0" applyAlignment="1" applyFont="1" applyNumberFormat="1">
      <alignment readingOrder="0" shrinkToFit="0" vertical="center" wrapText="1"/>
    </xf>
    <xf borderId="0" fillId="4" fontId="7" numFmtId="0" xfId="0" applyFill="1" applyFont="1"/>
    <xf borderId="0" fillId="4" fontId="8" numFmtId="0" xfId="0" applyAlignment="1" applyFont="1">
      <alignment vertical="center"/>
    </xf>
    <xf borderId="0" fillId="0" fontId="1" numFmtId="0" xfId="0" applyAlignment="1" applyFont="1">
      <alignment readingOrder="0"/>
    </xf>
    <xf borderId="0" fillId="0" fontId="1" numFmtId="0" xfId="0" applyFont="1"/>
  </cellXfs>
  <cellStyles count="1">
    <cellStyle xfId="0" name="Normal" builtinId="0"/>
  </cellStyles>
  <dxfs count="6">
    <dxf>
      <font/>
      <fill>
        <patternFill patternType="none"/>
      </fill>
      <border/>
    </dxf>
    <dxf>
      <font/>
      <fill>
        <patternFill patternType="solid">
          <fgColor rgb="FF49564C"/>
          <bgColor rgb="FF49564C"/>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9564C"/>
        </left>
        <right style="thin">
          <color rgb="FF49564C"/>
        </right>
        <top style="thin">
          <color rgb="FF49564C"/>
        </top>
        <bottom style="thin">
          <color rgb="FF49564C"/>
        </bottom>
      </border>
    </dxf>
    <dxf>
      <font/>
      <fill>
        <patternFill patternType="solid">
          <fgColor rgb="FFFFF2CC"/>
          <bgColor rgb="FFFFF2CC"/>
        </patternFill>
      </fill>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Status Breakdown</a:t>
            </a:r>
          </a:p>
        </c:rich>
      </c:tx>
      <c:overlay val="0"/>
    </c:title>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dPt>
          <c:dPt>
            <c:idx val="6"/>
          </c:dPt>
          <c:dPt>
            <c:idx val="7"/>
          </c:dPt>
          <c:dPt>
            <c:idx val="8"/>
          </c:dPt>
          <c:dPt>
            <c:idx val="9"/>
          </c:dPt>
          <c:dPt>
            <c:idx val="10"/>
          </c:dPt>
          <c:dPt>
            <c:idx val="11"/>
          </c:dPt>
          <c:dPt>
            <c:idx val="12"/>
          </c:dPt>
          <c:dPt>
            <c:idx val="13"/>
          </c:dPt>
          <c:dPt>
            <c:idx val="14"/>
          </c:dPt>
          <c:dPt>
            <c:idx val="15"/>
          </c:dPt>
          <c:dPt>
            <c:idx val="16"/>
          </c:dPt>
          <c:dPt>
            <c:idx val="17"/>
          </c:dPt>
          <c:dPt>
            <c:idx val="18"/>
          </c:dPt>
          <c:dPt>
            <c:idx val="19"/>
          </c:dPt>
          <c:dPt>
            <c:idx val="20"/>
          </c:dPt>
          <c:dPt>
            <c:idx val="21"/>
          </c:dPt>
          <c:dPt>
            <c:idx val="22"/>
          </c:dPt>
          <c:dPt>
            <c:idx val="23"/>
          </c:dPt>
          <c:dPt>
            <c:idx val="24"/>
          </c:dPt>
          <c:dPt>
            <c:idx val="25"/>
          </c:dPt>
          <c:dPt>
            <c:idx val="26"/>
          </c:dPt>
          <c:dPt>
            <c:idx val="27"/>
          </c:dPt>
          <c:dPt>
            <c:idx val="28"/>
          </c:dPt>
          <c:dPt>
            <c:idx val="29"/>
          </c:dPt>
          <c:dPt>
            <c:idx val="30"/>
          </c:dPt>
          <c:dPt>
            <c:idx val="31"/>
          </c:dPt>
          <c:dPt>
            <c:idx val="32"/>
          </c:dPt>
          <c:dPt>
            <c:idx val="33"/>
          </c:dPt>
          <c:dPt>
            <c:idx val="34"/>
          </c:dPt>
          <c:dPt>
            <c:idx val="35"/>
          </c:dPt>
          <c:dPt>
            <c:idx val="36"/>
          </c:dPt>
          <c:dPt>
            <c:idx val="37"/>
          </c:dPt>
          <c:dPt>
            <c:idx val="38"/>
          </c:dPt>
          <c:dPt>
            <c:idx val="39"/>
          </c:dPt>
          <c:dPt>
            <c:idx val="40"/>
          </c:dPt>
          <c:dPt>
            <c:idx val="41"/>
          </c:dPt>
          <c:dPt>
            <c:idx val="42"/>
          </c:dPt>
          <c:dPt>
            <c:idx val="43"/>
          </c:dPt>
          <c:dPt>
            <c:idx val="44"/>
          </c:dPt>
          <c:dPt>
            <c:idx val="45"/>
          </c:dPt>
          <c:dPt>
            <c:idx val="46"/>
          </c:dPt>
          <c:dPt>
            <c:idx val="47"/>
          </c:dPt>
          <c:dPt>
            <c:idx val="48"/>
          </c:dPt>
          <c:dPt>
            <c:idx val="49"/>
          </c:dPt>
          <c:dPt>
            <c:idx val="50"/>
          </c:dPt>
          <c:dPt>
            <c:idx val="51"/>
          </c:dPt>
          <c:dPt>
            <c:idx val="52"/>
          </c:dPt>
          <c:dPt>
            <c:idx val="53"/>
          </c:dPt>
          <c:dPt>
            <c:idx val="54"/>
          </c:dPt>
          <c:dPt>
            <c:idx val="55"/>
          </c:dPt>
          <c:dPt>
            <c:idx val="56"/>
          </c:dPt>
          <c:dPt>
            <c:idx val="57"/>
          </c:dPt>
          <c:dPt>
            <c:idx val="58"/>
          </c:dPt>
          <c:dPt>
            <c:idx val="59"/>
          </c:dPt>
          <c:dPt>
            <c:idx val="60"/>
          </c:dPt>
          <c:dPt>
            <c:idx val="61"/>
          </c:dPt>
          <c:dPt>
            <c:idx val="62"/>
          </c:dPt>
          <c:dPt>
            <c:idx val="63"/>
          </c:dPt>
          <c:dPt>
            <c:idx val="64"/>
          </c:dPt>
          <c:dPt>
            <c:idx val="65"/>
          </c:dPt>
          <c:dPt>
            <c:idx val="66"/>
          </c:dPt>
          <c:dPt>
            <c:idx val="67"/>
          </c:dPt>
          <c:dPt>
            <c:idx val="68"/>
          </c:dPt>
          <c:dPt>
            <c:idx val="69"/>
          </c:dPt>
          <c:dPt>
            <c:idx val="70"/>
          </c:dPt>
          <c:dPt>
            <c:idx val="71"/>
          </c:dPt>
          <c:dPt>
            <c:idx val="72"/>
          </c:dPt>
          <c:dPt>
            <c:idx val="73"/>
          </c:dPt>
          <c:dPt>
            <c:idx val="74"/>
          </c:dPt>
          <c:dPt>
            <c:idx val="75"/>
          </c:dPt>
          <c:dPt>
            <c:idx val="76"/>
          </c:dPt>
          <c:dPt>
            <c:idx val="77"/>
          </c:dPt>
          <c:dPt>
            <c:idx val="78"/>
          </c:dPt>
          <c:dPt>
            <c:idx val="79"/>
          </c:dPt>
          <c:dPt>
            <c:idx val="80"/>
          </c:dPt>
          <c:dPt>
            <c:idx val="81"/>
          </c:dPt>
          <c:dPt>
            <c:idx val="82"/>
          </c:dPt>
          <c:dPt>
            <c:idx val="83"/>
          </c:dPt>
          <c:dPt>
            <c:idx val="84"/>
          </c:dPt>
          <c:dPt>
            <c:idx val="85"/>
          </c:dPt>
          <c:dPt>
            <c:idx val="86"/>
          </c:dPt>
          <c:dPt>
            <c:idx val="87"/>
          </c:dPt>
          <c:dPt>
            <c:idx val="88"/>
          </c:dPt>
          <c:dPt>
            <c:idx val="89"/>
          </c:dPt>
          <c:dPt>
            <c:idx val="90"/>
          </c:dPt>
          <c:dPt>
            <c:idx val="91"/>
          </c:dPt>
          <c:dPt>
            <c:idx val="92"/>
          </c:dPt>
          <c:dPt>
            <c:idx val="93"/>
          </c:dPt>
          <c:dPt>
            <c:idx val="94"/>
          </c:dPt>
          <c:dPt>
            <c:idx val="95"/>
          </c:dPt>
          <c:dPt>
            <c:idx val="96"/>
          </c:dPt>
          <c:dPt>
            <c:idx val="97"/>
          </c:dPt>
          <c:dPt>
            <c:idx val="98"/>
          </c:dPt>
          <c:dPt>
            <c:idx val="99"/>
          </c:dPt>
          <c:dPt>
            <c:idx val="100"/>
          </c:dPt>
          <c:dPt>
            <c:idx val="101"/>
          </c:dPt>
          <c:dPt>
            <c:idx val="102"/>
          </c:dPt>
          <c:dPt>
            <c:idx val="103"/>
          </c:dPt>
          <c:dPt>
            <c:idx val="104"/>
          </c:dPt>
          <c:dPt>
            <c:idx val="105"/>
          </c:dPt>
          <c:dPt>
            <c:idx val="106"/>
          </c:dPt>
          <c:dPt>
            <c:idx val="107"/>
          </c:dPt>
          <c:dPt>
            <c:idx val="108"/>
          </c:dPt>
          <c:dPt>
            <c:idx val="109"/>
          </c:dPt>
          <c:dPt>
            <c:idx val="110"/>
          </c:dPt>
          <c:dPt>
            <c:idx val="111"/>
          </c:dPt>
          <c:dPt>
            <c:idx val="112"/>
          </c:dPt>
          <c:dPt>
            <c:idx val="113"/>
          </c:dPt>
          <c:dPt>
            <c:idx val="114"/>
          </c:dPt>
          <c:dPt>
            <c:idx val="115"/>
          </c:dPt>
          <c:dPt>
            <c:idx val="116"/>
          </c:dPt>
          <c:dPt>
            <c:idx val="117"/>
          </c:dPt>
          <c:dPt>
            <c:idx val="118"/>
          </c:dPt>
          <c:dPt>
            <c:idx val="119"/>
          </c:dPt>
          <c:dPt>
            <c:idx val="120"/>
          </c:dPt>
          <c:dPt>
            <c:idx val="121"/>
          </c:dPt>
          <c:dPt>
            <c:idx val="122"/>
          </c:dPt>
          <c:dPt>
            <c:idx val="123"/>
          </c:dPt>
          <c:dPt>
            <c:idx val="124"/>
          </c:dPt>
          <c:dPt>
            <c:idx val="125"/>
          </c:dPt>
          <c:dPt>
            <c:idx val="126"/>
          </c:dPt>
          <c:dPt>
            <c:idx val="127"/>
          </c:dPt>
          <c:dPt>
            <c:idx val="128"/>
          </c:dPt>
          <c:dPt>
            <c:idx val="129"/>
          </c:dPt>
          <c:dPt>
            <c:idx val="130"/>
          </c:dPt>
          <c:dPt>
            <c:idx val="131"/>
          </c:dPt>
          <c:dPt>
            <c:idx val="132"/>
          </c:dPt>
          <c:dPt>
            <c:idx val="133"/>
          </c:dPt>
          <c:dPt>
            <c:idx val="134"/>
          </c:dPt>
          <c:dPt>
            <c:idx val="135"/>
          </c:dPt>
          <c:dPt>
            <c:idx val="136"/>
          </c:dPt>
          <c:dPt>
            <c:idx val="137"/>
          </c:dPt>
          <c:dPt>
            <c:idx val="138"/>
          </c:dPt>
          <c:dPt>
            <c:idx val="139"/>
          </c:dPt>
          <c:dPt>
            <c:idx val="140"/>
          </c:dPt>
          <c:dPt>
            <c:idx val="141"/>
          </c:dPt>
          <c:dPt>
            <c:idx val="142"/>
          </c:dPt>
          <c:dPt>
            <c:idx val="143"/>
          </c:dPt>
          <c:dPt>
            <c:idx val="144"/>
          </c:dPt>
          <c:dPt>
            <c:idx val="145"/>
          </c:dPt>
          <c:dPt>
            <c:idx val="146"/>
          </c:dPt>
          <c:dPt>
            <c:idx val="147"/>
          </c:dPt>
          <c:dPt>
            <c:idx val="148"/>
          </c:dPt>
          <c:dPt>
            <c:idx val="149"/>
          </c:dPt>
          <c:dPt>
            <c:idx val="150"/>
          </c:dPt>
          <c:dPt>
            <c:idx val="151"/>
          </c:dPt>
          <c:dPt>
            <c:idx val="152"/>
          </c:dPt>
          <c:dPt>
            <c:idx val="153"/>
          </c:dPt>
          <c:dPt>
            <c:idx val="154"/>
          </c:dPt>
          <c:dPt>
            <c:idx val="155"/>
          </c:dPt>
          <c:dPt>
            <c:idx val="156"/>
          </c:dPt>
          <c:dPt>
            <c:idx val="157"/>
          </c:dPt>
          <c:dPt>
            <c:idx val="158"/>
          </c:dPt>
          <c:dPt>
            <c:idx val="159"/>
          </c:dPt>
          <c:dPt>
            <c:idx val="160"/>
          </c:dPt>
          <c:dPt>
            <c:idx val="161"/>
          </c:dPt>
          <c:dPt>
            <c:idx val="162"/>
          </c:dPt>
          <c:dPt>
            <c:idx val="163"/>
          </c:dPt>
          <c:dPt>
            <c:idx val="164"/>
          </c:dPt>
          <c:dPt>
            <c:idx val="165"/>
          </c:dPt>
          <c:dPt>
            <c:idx val="166"/>
          </c:dPt>
          <c:dPt>
            <c:idx val="167"/>
          </c:dPt>
          <c:dPt>
            <c:idx val="168"/>
          </c:dPt>
          <c:dPt>
            <c:idx val="169"/>
          </c:dPt>
          <c:dPt>
            <c:idx val="170"/>
          </c:dPt>
          <c:dPt>
            <c:idx val="171"/>
          </c:dPt>
          <c:dPt>
            <c:idx val="172"/>
          </c:dPt>
          <c:dPt>
            <c:idx val="173"/>
          </c:dPt>
          <c:dPt>
            <c:idx val="174"/>
          </c:dPt>
          <c:dPt>
            <c:idx val="175"/>
          </c:dPt>
          <c:dPt>
            <c:idx val="176"/>
          </c:dPt>
          <c:dPt>
            <c:idx val="177"/>
          </c:dPt>
          <c:dPt>
            <c:idx val="178"/>
          </c:dPt>
          <c:dPt>
            <c:idx val="179"/>
          </c:dPt>
          <c:dPt>
            <c:idx val="180"/>
          </c:dPt>
          <c:dPt>
            <c:idx val="181"/>
          </c:dPt>
          <c:dPt>
            <c:idx val="182"/>
          </c:dPt>
          <c:dPt>
            <c:idx val="183"/>
          </c:dPt>
          <c:dPt>
            <c:idx val="184"/>
          </c:dPt>
          <c:dPt>
            <c:idx val="185"/>
          </c:dPt>
          <c:dPt>
            <c:idx val="186"/>
          </c:dPt>
          <c:dPt>
            <c:idx val="187"/>
          </c:dPt>
          <c:dPt>
            <c:idx val="188"/>
          </c:dPt>
          <c:dPt>
            <c:idx val="189"/>
          </c:dPt>
          <c:dPt>
            <c:idx val="190"/>
          </c:dPt>
          <c:dPt>
            <c:idx val="191"/>
          </c:dPt>
          <c:dPt>
            <c:idx val="192"/>
          </c:dPt>
          <c:dPt>
            <c:idx val="193"/>
          </c:dPt>
          <c:dPt>
            <c:idx val="194"/>
          </c:dPt>
          <c:dPt>
            <c:idx val="195"/>
          </c:dPt>
          <c:dPt>
            <c:idx val="196"/>
          </c:dPt>
          <c:dPt>
            <c:idx val="197"/>
          </c:dPt>
          <c:dPt>
            <c:idx val="198"/>
          </c:dPt>
          <c:dPt>
            <c:idx val="199"/>
          </c:dPt>
          <c:dPt>
            <c:idx val="200"/>
          </c:dPt>
          <c:dPt>
            <c:idx val="201"/>
          </c:dPt>
          <c:dPt>
            <c:idx val="202"/>
          </c:dPt>
          <c:dPt>
            <c:idx val="203"/>
          </c:dPt>
          <c:dPt>
            <c:idx val="204"/>
          </c:dPt>
          <c:dPt>
            <c:idx val="205"/>
          </c:dPt>
          <c:dPt>
            <c:idx val="206"/>
          </c:dPt>
          <c:dPt>
            <c:idx val="207"/>
          </c:dPt>
          <c:dPt>
            <c:idx val="208"/>
          </c:dPt>
          <c:dPt>
            <c:idx val="209"/>
          </c:dPt>
          <c:dPt>
            <c:idx val="210"/>
          </c:dPt>
          <c:dPt>
            <c:idx val="211"/>
          </c:dPt>
          <c:dPt>
            <c:idx val="212"/>
          </c:dPt>
          <c:dPt>
            <c:idx val="213"/>
          </c:dPt>
          <c:dPt>
            <c:idx val="214"/>
          </c:dPt>
          <c:dPt>
            <c:idx val="215"/>
          </c:dPt>
          <c:dPt>
            <c:idx val="216"/>
          </c:dPt>
          <c:dPt>
            <c:idx val="217"/>
          </c:dPt>
          <c:dPt>
            <c:idx val="218"/>
          </c:dPt>
          <c:dPt>
            <c:idx val="219"/>
          </c:dPt>
          <c:dPt>
            <c:idx val="220"/>
          </c:dPt>
          <c:dPt>
            <c:idx val="221"/>
          </c:dPt>
          <c:dPt>
            <c:idx val="222"/>
          </c:dPt>
          <c:dPt>
            <c:idx val="223"/>
          </c:dPt>
          <c:dPt>
            <c:idx val="224"/>
          </c:dPt>
          <c:dPt>
            <c:idx val="225"/>
          </c:dPt>
          <c:dPt>
            <c:idx val="226"/>
          </c:dPt>
          <c:dPt>
            <c:idx val="227"/>
          </c:dPt>
          <c:dPt>
            <c:idx val="228"/>
          </c:dPt>
          <c:dPt>
            <c:idx val="229"/>
          </c:dPt>
          <c:dPt>
            <c:idx val="230"/>
          </c:dPt>
          <c:dPt>
            <c:idx val="231"/>
          </c:dPt>
          <c:dPt>
            <c:idx val="232"/>
          </c:dPt>
          <c:dPt>
            <c:idx val="233"/>
          </c:dPt>
          <c:dPt>
            <c:idx val="234"/>
          </c:dPt>
          <c:dPt>
            <c:idx val="235"/>
          </c:dPt>
          <c:dPt>
            <c:idx val="236"/>
          </c:dPt>
          <c:dPt>
            <c:idx val="237"/>
          </c:dPt>
          <c:dPt>
            <c:idx val="238"/>
          </c:dPt>
          <c:dPt>
            <c:idx val="239"/>
          </c:dPt>
          <c:dPt>
            <c:idx val="240"/>
          </c:dPt>
          <c:dPt>
            <c:idx val="241"/>
          </c:dPt>
          <c:dPt>
            <c:idx val="242"/>
          </c:dPt>
          <c:dPt>
            <c:idx val="243"/>
          </c:dPt>
          <c:dPt>
            <c:idx val="244"/>
          </c:dPt>
          <c:dPt>
            <c:idx val="245"/>
          </c:dPt>
          <c:dPt>
            <c:idx val="246"/>
          </c:dPt>
          <c:dPt>
            <c:idx val="247"/>
          </c:dPt>
          <c:dPt>
            <c:idx val="248"/>
          </c:dPt>
          <c:dPt>
            <c:idx val="249"/>
          </c:dPt>
          <c:dPt>
            <c:idx val="250"/>
          </c:dPt>
          <c:dPt>
            <c:idx val="251"/>
          </c:dPt>
          <c:dPt>
            <c:idx val="252"/>
          </c:dPt>
          <c:dPt>
            <c:idx val="253"/>
          </c:dPt>
          <c:dPt>
            <c:idx val="254"/>
          </c:dPt>
          <c:dPt>
            <c:idx val="255"/>
          </c:dPt>
          <c:dPt>
            <c:idx val="256"/>
          </c:dPt>
          <c:dPt>
            <c:idx val="257"/>
          </c:dPt>
          <c:dPt>
            <c:idx val="258"/>
          </c:dPt>
          <c:dPt>
            <c:idx val="259"/>
          </c:dPt>
          <c:dPt>
            <c:idx val="260"/>
          </c:dPt>
          <c:dPt>
            <c:idx val="261"/>
          </c:dPt>
          <c:dPt>
            <c:idx val="262"/>
          </c:dPt>
          <c:dPt>
            <c:idx val="263"/>
          </c:dPt>
          <c:dPt>
            <c:idx val="264"/>
          </c:dPt>
          <c:dPt>
            <c:idx val="265"/>
          </c:dPt>
          <c:dPt>
            <c:idx val="266"/>
          </c:dPt>
          <c:dPt>
            <c:idx val="267"/>
          </c:dPt>
          <c:dPt>
            <c:idx val="268"/>
          </c:dPt>
          <c:dPt>
            <c:idx val="269"/>
          </c:dPt>
          <c:dPt>
            <c:idx val="270"/>
          </c:dPt>
          <c:dPt>
            <c:idx val="271"/>
          </c:dPt>
          <c:dPt>
            <c:idx val="272"/>
          </c:dPt>
          <c:dPt>
            <c:idx val="273"/>
          </c:dPt>
          <c:dPt>
            <c:idx val="274"/>
          </c:dPt>
          <c:dPt>
            <c:idx val="275"/>
          </c:dPt>
          <c:dPt>
            <c:idx val="276"/>
          </c:dPt>
          <c:dPt>
            <c:idx val="277"/>
          </c:dPt>
          <c:dPt>
            <c:idx val="278"/>
          </c:dPt>
          <c:dPt>
            <c:idx val="279"/>
          </c:dPt>
          <c:dPt>
            <c:idx val="280"/>
          </c:dPt>
          <c:dPt>
            <c:idx val="281"/>
          </c:dPt>
          <c:dPt>
            <c:idx val="282"/>
          </c:dPt>
          <c:dPt>
            <c:idx val="283"/>
          </c:dPt>
          <c:dPt>
            <c:idx val="284"/>
          </c:dPt>
          <c:dPt>
            <c:idx val="285"/>
          </c:dPt>
          <c:dPt>
            <c:idx val="286"/>
          </c:dPt>
          <c:dPt>
            <c:idx val="287"/>
          </c:dPt>
          <c:dPt>
            <c:idx val="288"/>
          </c:dPt>
          <c:dPt>
            <c:idx val="289"/>
          </c:dPt>
          <c:dPt>
            <c:idx val="290"/>
          </c:dPt>
          <c:dPt>
            <c:idx val="291"/>
          </c:dPt>
          <c:dPt>
            <c:idx val="292"/>
          </c:dPt>
          <c:dPt>
            <c:idx val="293"/>
          </c:dPt>
          <c:dPt>
            <c:idx val="294"/>
          </c:dPt>
          <c:dPt>
            <c:idx val="295"/>
          </c:dPt>
          <c:dPt>
            <c:idx val="296"/>
          </c:dPt>
          <c:dPt>
            <c:idx val="297"/>
          </c:dPt>
          <c:dPt>
            <c:idx val="298"/>
          </c:dPt>
          <c:dPt>
            <c:idx val="299"/>
          </c:dPt>
          <c:dPt>
            <c:idx val="300"/>
          </c:dPt>
          <c:dPt>
            <c:idx val="301"/>
          </c:dPt>
          <c:dPt>
            <c:idx val="302"/>
          </c:dPt>
          <c:dPt>
            <c:idx val="303"/>
          </c:dPt>
          <c:dPt>
            <c:idx val="304"/>
          </c:dPt>
          <c:dPt>
            <c:idx val="305"/>
          </c:dPt>
          <c:dPt>
            <c:idx val="306"/>
          </c:dPt>
          <c:dPt>
            <c:idx val="307"/>
          </c:dPt>
          <c:dPt>
            <c:idx val="308"/>
          </c:dPt>
          <c:dPt>
            <c:idx val="309"/>
          </c:dPt>
          <c:dPt>
            <c:idx val="310"/>
          </c:dPt>
          <c:dPt>
            <c:idx val="311"/>
          </c:dPt>
          <c:dPt>
            <c:idx val="312"/>
          </c:dPt>
          <c:dPt>
            <c:idx val="313"/>
          </c:dPt>
          <c:dPt>
            <c:idx val="314"/>
          </c:dPt>
          <c:dPt>
            <c:idx val="315"/>
          </c:dPt>
          <c:dPt>
            <c:idx val="316"/>
          </c:dPt>
          <c:dPt>
            <c:idx val="317"/>
          </c:dPt>
          <c:dPt>
            <c:idx val="318"/>
          </c:dPt>
          <c:dPt>
            <c:idx val="319"/>
          </c:dPt>
          <c:dPt>
            <c:idx val="320"/>
          </c:dPt>
          <c:dPt>
            <c:idx val="321"/>
          </c:dPt>
          <c:dPt>
            <c:idx val="322"/>
          </c:dPt>
          <c:dPt>
            <c:idx val="323"/>
          </c:dPt>
          <c:dPt>
            <c:idx val="324"/>
          </c:dPt>
          <c:dPt>
            <c:idx val="325"/>
          </c:dPt>
          <c:dPt>
            <c:idx val="326"/>
          </c:dPt>
          <c:dPt>
            <c:idx val="327"/>
          </c:dPt>
          <c:dPt>
            <c:idx val="328"/>
          </c:dPt>
          <c:dPt>
            <c:idx val="329"/>
          </c:dPt>
          <c:dPt>
            <c:idx val="330"/>
          </c:dPt>
          <c:dPt>
            <c:idx val="331"/>
          </c:dPt>
          <c:dPt>
            <c:idx val="332"/>
          </c:dPt>
          <c:dPt>
            <c:idx val="333"/>
          </c:dPt>
          <c:dPt>
            <c:idx val="334"/>
          </c:dPt>
          <c:dPt>
            <c:idx val="335"/>
          </c:dPt>
          <c:dPt>
            <c:idx val="336"/>
          </c:dPt>
          <c:dPt>
            <c:idx val="337"/>
          </c:dPt>
          <c:dPt>
            <c:idx val="338"/>
          </c:dPt>
          <c:dPt>
            <c:idx val="339"/>
          </c:dPt>
          <c:dPt>
            <c:idx val="340"/>
          </c:dPt>
          <c:dPt>
            <c:idx val="341"/>
          </c:dPt>
          <c:dPt>
            <c:idx val="342"/>
          </c:dPt>
          <c:dPt>
            <c:idx val="343"/>
          </c:dPt>
          <c:dPt>
            <c:idx val="344"/>
          </c:dPt>
          <c:dPt>
            <c:idx val="345"/>
          </c:dPt>
          <c:dPt>
            <c:idx val="346"/>
          </c:dPt>
          <c:dPt>
            <c:idx val="347"/>
          </c:dPt>
          <c:dPt>
            <c:idx val="348"/>
          </c:dPt>
          <c:dPt>
            <c:idx val="349"/>
          </c:dPt>
          <c:dPt>
            <c:idx val="350"/>
          </c:dPt>
          <c:dPt>
            <c:idx val="351"/>
          </c:dPt>
          <c:dPt>
            <c:idx val="352"/>
          </c:dPt>
          <c:dPt>
            <c:idx val="353"/>
          </c:dPt>
          <c:dPt>
            <c:idx val="354"/>
          </c:dPt>
          <c:dPt>
            <c:idx val="355"/>
          </c:dPt>
          <c:dPt>
            <c:idx val="356"/>
          </c:dPt>
          <c:dPt>
            <c:idx val="357"/>
          </c:dPt>
          <c:dPt>
            <c:idx val="358"/>
          </c:dPt>
          <c:dPt>
            <c:idx val="359"/>
          </c:dPt>
          <c:dPt>
            <c:idx val="360"/>
          </c:dPt>
          <c:dPt>
            <c:idx val="361"/>
          </c:dPt>
          <c:dPt>
            <c:idx val="362"/>
          </c:dPt>
          <c:dPt>
            <c:idx val="363"/>
          </c:dPt>
          <c:dPt>
            <c:idx val="364"/>
          </c:dPt>
          <c:dPt>
            <c:idx val="365"/>
          </c:dPt>
          <c:dPt>
            <c:idx val="366"/>
          </c:dPt>
          <c:dPt>
            <c:idx val="367"/>
          </c:dPt>
          <c:dPt>
            <c:idx val="368"/>
          </c:dPt>
          <c:dPt>
            <c:idx val="369"/>
          </c:dPt>
          <c:dPt>
            <c:idx val="370"/>
          </c:dPt>
          <c:dPt>
            <c:idx val="371"/>
          </c:dPt>
          <c:dPt>
            <c:idx val="372"/>
          </c:dPt>
          <c:dPt>
            <c:idx val="373"/>
          </c:dPt>
          <c:dPt>
            <c:idx val="374"/>
          </c:dPt>
          <c:dPt>
            <c:idx val="375"/>
          </c:dPt>
          <c:dPt>
            <c:idx val="376"/>
          </c:dPt>
          <c:dPt>
            <c:idx val="377"/>
          </c:dPt>
          <c:dPt>
            <c:idx val="378"/>
          </c:dPt>
          <c:dPt>
            <c:idx val="379"/>
          </c:dPt>
          <c:dPt>
            <c:idx val="380"/>
          </c:dPt>
          <c:dPt>
            <c:idx val="381"/>
          </c:dPt>
          <c:dPt>
            <c:idx val="382"/>
          </c:dPt>
          <c:dPt>
            <c:idx val="383"/>
          </c:dPt>
          <c:dPt>
            <c:idx val="384"/>
          </c:dPt>
          <c:dPt>
            <c:idx val="385"/>
          </c:dPt>
          <c:dPt>
            <c:idx val="386"/>
          </c:dPt>
          <c:dPt>
            <c:idx val="387"/>
          </c:dPt>
          <c:dPt>
            <c:idx val="388"/>
          </c:dPt>
          <c:dPt>
            <c:idx val="389"/>
          </c:dPt>
          <c:dPt>
            <c:idx val="390"/>
          </c:dPt>
          <c:dPt>
            <c:idx val="391"/>
          </c:dPt>
          <c:dPt>
            <c:idx val="392"/>
          </c:dPt>
          <c:dPt>
            <c:idx val="393"/>
          </c:dPt>
          <c:dPt>
            <c:idx val="394"/>
          </c:dPt>
          <c:dPt>
            <c:idx val="395"/>
          </c:dPt>
          <c:dPt>
            <c:idx val="396"/>
          </c:dPt>
          <c:dPt>
            <c:idx val="397"/>
          </c:dPt>
          <c:dPt>
            <c:idx val="398"/>
          </c:dPt>
          <c:dPt>
            <c:idx val="399"/>
          </c:dPt>
          <c:dPt>
            <c:idx val="400"/>
          </c:dPt>
          <c:dPt>
            <c:idx val="401"/>
          </c:dPt>
          <c:dPt>
            <c:idx val="402"/>
          </c:dPt>
          <c:dPt>
            <c:idx val="403"/>
          </c:dPt>
          <c:dPt>
            <c:idx val="404"/>
          </c:dPt>
          <c:dPt>
            <c:idx val="405"/>
          </c:dPt>
          <c:dPt>
            <c:idx val="406"/>
          </c:dPt>
          <c:dPt>
            <c:idx val="407"/>
          </c:dPt>
          <c:dPt>
            <c:idx val="408"/>
          </c:dPt>
          <c:dPt>
            <c:idx val="409"/>
          </c:dPt>
          <c:dPt>
            <c:idx val="410"/>
          </c:dPt>
          <c:dPt>
            <c:idx val="411"/>
          </c:dPt>
          <c:dPt>
            <c:idx val="412"/>
          </c:dPt>
          <c:dPt>
            <c:idx val="413"/>
          </c:dPt>
          <c:dPt>
            <c:idx val="414"/>
          </c:dPt>
          <c:dPt>
            <c:idx val="415"/>
          </c:dPt>
          <c:dPt>
            <c:idx val="416"/>
          </c:dPt>
          <c:dPt>
            <c:idx val="417"/>
          </c:dPt>
          <c:dPt>
            <c:idx val="418"/>
          </c:dPt>
          <c:dPt>
            <c:idx val="419"/>
          </c:dPt>
          <c:dPt>
            <c:idx val="420"/>
          </c:dPt>
          <c:dPt>
            <c:idx val="421"/>
          </c:dPt>
          <c:dPt>
            <c:idx val="422"/>
          </c:dPt>
          <c:dPt>
            <c:idx val="423"/>
          </c:dPt>
          <c:dPt>
            <c:idx val="424"/>
          </c:dPt>
          <c:dPt>
            <c:idx val="425"/>
          </c:dPt>
          <c:dPt>
            <c:idx val="426"/>
          </c:dPt>
          <c:dPt>
            <c:idx val="427"/>
          </c:dPt>
          <c:dPt>
            <c:idx val="428"/>
          </c:dPt>
          <c:dPt>
            <c:idx val="429"/>
          </c:dPt>
          <c:dPt>
            <c:idx val="430"/>
          </c:dPt>
          <c:dPt>
            <c:idx val="431"/>
          </c:dPt>
          <c:dPt>
            <c:idx val="432"/>
          </c:dPt>
          <c:dPt>
            <c:idx val="433"/>
          </c:dPt>
          <c:dPt>
            <c:idx val="434"/>
          </c:dPt>
          <c:dPt>
            <c:idx val="435"/>
          </c:dPt>
          <c:dPt>
            <c:idx val="436"/>
          </c:dPt>
          <c:dPt>
            <c:idx val="437"/>
          </c:dPt>
          <c:dPt>
            <c:idx val="438"/>
          </c:dPt>
          <c:dPt>
            <c:idx val="439"/>
          </c:dPt>
          <c:dPt>
            <c:idx val="440"/>
          </c:dPt>
          <c:dPt>
            <c:idx val="441"/>
          </c:dPt>
          <c:dPt>
            <c:idx val="442"/>
          </c:dPt>
          <c:dPt>
            <c:idx val="443"/>
          </c:dPt>
          <c:dPt>
            <c:idx val="444"/>
          </c:dPt>
          <c:dPt>
            <c:idx val="445"/>
          </c:dPt>
          <c:dPt>
            <c:idx val="446"/>
          </c:dPt>
          <c:dPt>
            <c:idx val="447"/>
          </c:dPt>
          <c:dPt>
            <c:idx val="448"/>
          </c:dPt>
          <c:dPt>
            <c:idx val="449"/>
          </c:dPt>
          <c:dPt>
            <c:idx val="450"/>
          </c:dPt>
          <c:dPt>
            <c:idx val="451"/>
          </c:dPt>
          <c:dPt>
            <c:idx val="452"/>
          </c:dPt>
          <c:dPt>
            <c:idx val="453"/>
          </c:dPt>
          <c:dPt>
            <c:idx val="454"/>
          </c:dPt>
          <c:dPt>
            <c:idx val="455"/>
          </c:dPt>
          <c:dPt>
            <c:idx val="456"/>
          </c:dPt>
          <c:dPt>
            <c:idx val="457"/>
          </c:dPt>
          <c:dPt>
            <c:idx val="458"/>
          </c:dPt>
          <c:dPt>
            <c:idx val="459"/>
          </c:dPt>
          <c:dPt>
            <c:idx val="460"/>
          </c:dPt>
          <c:dPt>
            <c:idx val="461"/>
          </c:dPt>
          <c:dPt>
            <c:idx val="462"/>
          </c:dPt>
          <c:dPt>
            <c:idx val="463"/>
          </c:dPt>
          <c:dPt>
            <c:idx val="464"/>
          </c:dPt>
          <c:dPt>
            <c:idx val="465"/>
          </c:dPt>
          <c:dPt>
            <c:idx val="466"/>
          </c:dPt>
          <c:dPt>
            <c:idx val="467"/>
          </c:dPt>
          <c:dPt>
            <c:idx val="468"/>
          </c:dPt>
          <c:dPt>
            <c:idx val="469"/>
          </c:dPt>
          <c:dPt>
            <c:idx val="470"/>
          </c:dPt>
          <c:dPt>
            <c:idx val="471"/>
          </c:dPt>
          <c:dPt>
            <c:idx val="472"/>
          </c:dPt>
          <c:dPt>
            <c:idx val="473"/>
          </c:dPt>
          <c:dPt>
            <c:idx val="474"/>
          </c:dPt>
          <c:dPt>
            <c:idx val="475"/>
          </c:dPt>
          <c:dPt>
            <c:idx val="476"/>
          </c:dPt>
          <c:dPt>
            <c:idx val="477"/>
          </c:dPt>
          <c:dPt>
            <c:idx val="478"/>
          </c:dPt>
          <c:dPt>
            <c:idx val="479"/>
          </c:dPt>
          <c:dPt>
            <c:idx val="480"/>
          </c:dPt>
          <c:dPt>
            <c:idx val="481"/>
          </c:dPt>
          <c:dPt>
            <c:idx val="482"/>
          </c:dPt>
          <c:dPt>
            <c:idx val="483"/>
          </c:dPt>
          <c:dPt>
            <c:idx val="484"/>
          </c:dPt>
          <c:dPt>
            <c:idx val="485"/>
          </c:dPt>
          <c:dPt>
            <c:idx val="486"/>
          </c:dPt>
          <c:dPt>
            <c:idx val="487"/>
          </c:dPt>
          <c:dPt>
            <c:idx val="488"/>
          </c:dPt>
          <c:dPt>
            <c:idx val="489"/>
          </c:dPt>
          <c:dPt>
            <c:idx val="490"/>
          </c:dPt>
          <c:dPt>
            <c:idx val="491"/>
          </c:dPt>
          <c:dPt>
            <c:idx val="492"/>
          </c:dPt>
          <c:dPt>
            <c:idx val="493"/>
          </c:dPt>
          <c:dPt>
            <c:idx val="494"/>
          </c:dPt>
          <c:dPt>
            <c:idx val="495"/>
          </c:dPt>
          <c:dPt>
            <c:idx val="496"/>
          </c:dPt>
          <c:dPt>
            <c:idx val="497"/>
          </c:dPt>
          <c:dPt>
            <c:idx val="498"/>
          </c:dPt>
          <c:dPt>
            <c:idx val="499"/>
          </c:dPt>
          <c:dPt>
            <c:idx val="500"/>
          </c:dPt>
          <c:dPt>
            <c:idx val="501"/>
          </c:dPt>
          <c:dPt>
            <c:idx val="502"/>
          </c:dPt>
          <c:dPt>
            <c:idx val="503"/>
          </c:dPt>
          <c:dPt>
            <c:idx val="504"/>
          </c:dPt>
          <c:dPt>
            <c:idx val="505"/>
          </c:dPt>
          <c:dPt>
            <c:idx val="506"/>
          </c:dPt>
          <c:dPt>
            <c:idx val="507"/>
          </c:dPt>
          <c:dPt>
            <c:idx val="508"/>
          </c:dPt>
          <c:dPt>
            <c:idx val="509"/>
          </c:dPt>
          <c:dPt>
            <c:idx val="510"/>
          </c:dPt>
          <c:dPt>
            <c:idx val="511"/>
          </c:dPt>
          <c:dPt>
            <c:idx val="512"/>
          </c:dPt>
          <c:dPt>
            <c:idx val="513"/>
          </c:dPt>
          <c:dPt>
            <c:idx val="514"/>
          </c:dPt>
          <c:dPt>
            <c:idx val="515"/>
          </c:dPt>
          <c:dPt>
            <c:idx val="516"/>
          </c:dPt>
          <c:dPt>
            <c:idx val="517"/>
          </c:dPt>
          <c:dPt>
            <c:idx val="518"/>
          </c:dPt>
          <c:dPt>
            <c:idx val="519"/>
          </c:dPt>
          <c:dPt>
            <c:idx val="520"/>
          </c:dPt>
          <c:dPt>
            <c:idx val="521"/>
          </c:dPt>
          <c:dPt>
            <c:idx val="522"/>
          </c:dPt>
          <c:dPt>
            <c:idx val="523"/>
          </c:dPt>
          <c:dPt>
            <c:idx val="524"/>
          </c:dPt>
          <c:dPt>
            <c:idx val="525"/>
          </c:dPt>
          <c:dPt>
            <c:idx val="526"/>
          </c:dPt>
          <c:dPt>
            <c:idx val="527"/>
          </c:dPt>
          <c:dPt>
            <c:idx val="528"/>
          </c:dPt>
          <c:dPt>
            <c:idx val="529"/>
          </c:dPt>
          <c:dPt>
            <c:idx val="530"/>
          </c:dPt>
          <c:dPt>
            <c:idx val="531"/>
          </c:dPt>
          <c:dPt>
            <c:idx val="532"/>
          </c:dPt>
          <c:dPt>
            <c:idx val="533"/>
          </c:dPt>
          <c:dPt>
            <c:idx val="534"/>
          </c:dPt>
          <c:dPt>
            <c:idx val="535"/>
          </c:dPt>
          <c:dPt>
            <c:idx val="536"/>
          </c:dPt>
          <c:dPt>
            <c:idx val="537"/>
          </c:dPt>
          <c:dPt>
            <c:idx val="538"/>
          </c:dPt>
          <c:dPt>
            <c:idx val="539"/>
          </c:dPt>
          <c:dPt>
            <c:idx val="540"/>
          </c:dPt>
          <c:dPt>
            <c:idx val="541"/>
          </c:dPt>
          <c:dPt>
            <c:idx val="542"/>
          </c:dPt>
          <c:dPt>
            <c:idx val="543"/>
          </c:dPt>
          <c:dPt>
            <c:idx val="544"/>
          </c:dPt>
          <c:dPt>
            <c:idx val="545"/>
          </c:dPt>
          <c:dPt>
            <c:idx val="546"/>
          </c:dPt>
          <c:dPt>
            <c:idx val="547"/>
          </c:dPt>
          <c:dPt>
            <c:idx val="548"/>
          </c:dPt>
          <c:dPt>
            <c:idx val="549"/>
          </c:dPt>
          <c:dPt>
            <c:idx val="550"/>
          </c:dPt>
          <c:dPt>
            <c:idx val="551"/>
          </c:dPt>
          <c:dPt>
            <c:idx val="552"/>
          </c:dPt>
          <c:dPt>
            <c:idx val="553"/>
          </c:dPt>
          <c:dPt>
            <c:idx val="554"/>
          </c:dPt>
          <c:dPt>
            <c:idx val="555"/>
          </c:dPt>
          <c:dPt>
            <c:idx val="556"/>
          </c:dPt>
          <c:dPt>
            <c:idx val="557"/>
          </c:dPt>
          <c:dPt>
            <c:idx val="558"/>
          </c:dPt>
          <c:dPt>
            <c:idx val="559"/>
          </c:dPt>
          <c:dPt>
            <c:idx val="560"/>
          </c:dPt>
          <c:dPt>
            <c:idx val="561"/>
          </c:dPt>
          <c:dPt>
            <c:idx val="562"/>
          </c:dPt>
          <c:dPt>
            <c:idx val="563"/>
          </c:dPt>
          <c:dPt>
            <c:idx val="564"/>
          </c:dPt>
          <c:dPt>
            <c:idx val="565"/>
          </c:dPt>
          <c:dPt>
            <c:idx val="566"/>
          </c:dPt>
          <c:dPt>
            <c:idx val="567"/>
          </c:dPt>
          <c:dPt>
            <c:idx val="568"/>
          </c:dPt>
          <c:dPt>
            <c:idx val="569"/>
          </c:dPt>
          <c:dPt>
            <c:idx val="570"/>
          </c:dPt>
          <c:dPt>
            <c:idx val="571"/>
          </c:dPt>
          <c:dPt>
            <c:idx val="572"/>
          </c:dPt>
          <c:dPt>
            <c:idx val="573"/>
          </c:dPt>
          <c:dPt>
            <c:idx val="574"/>
          </c:dPt>
          <c:dPt>
            <c:idx val="575"/>
          </c:dPt>
          <c:dPt>
            <c:idx val="576"/>
          </c:dPt>
          <c:dPt>
            <c:idx val="577"/>
          </c:dPt>
          <c:dPt>
            <c:idx val="578"/>
          </c:dPt>
          <c:dPt>
            <c:idx val="579"/>
          </c:dPt>
          <c:dPt>
            <c:idx val="580"/>
          </c:dPt>
          <c:dPt>
            <c:idx val="581"/>
          </c:dPt>
          <c:dPt>
            <c:idx val="582"/>
          </c:dPt>
          <c:dPt>
            <c:idx val="583"/>
          </c:dPt>
          <c:dPt>
            <c:idx val="584"/>
          </c:dPt>
          <c:dPt>
            <c:idx val="585"/>
          </c:dPt>
          <c:dPt>
            <c:idx val="586"/>
          </c:dPt>
          <c:dPt>
            <c:idx val="587"/>
          </c:dPt>
          <c:dPt>
            <c:idx val="588"/>
          </c:dPt>
          <c:dPt>
            <c:idx val="589"/>
          </c:dPt>
          <c:dPt>
            <c:idx val="590"/>
          </c:dPt>
          <c:dPt>
            <c:idx val="591"/>
          </c:dPt>
          <c:dPt>
            <c:idx val="592"/>
          </c:dPt>
          <c:dPt>
            <c:idx val="593"/>
          </c:dPt>
          <c:dPt>
            <c:idx val="594"/>
          </c:dPt>
          <c:dPt>
            <c:idx val="595"/>
          </c:dPt>
          <c:dPt>
            <c:idx val="596"/>
          </c:dPt>
          <c:dPt>
            <c:idx val="597"/>
          </c:dPt>
          <c:dPt>
            <c:idx val="598"/>
          </c:dPt>
          <c:dPt>
            <c:idx val="599"/>
          </c:dPt>
          <c:dPt>
            <c:idx val="600"/>
          </c:dPt>
          <c:dPt>
            <c:idx val="601"/>
          </c:dPt>
          <c:dPt>
            <c:idx val="602"/>
          </c:dPt>
          <c:dPt>
            <c:idx val="603"/>
          </c:dPt>
          <c:dPt>
            <c:idx val="604"/>
          </c:dPt>
          <c:dPt>
            <c:idx val="605"/>
          </c:dPt>
          <c:dPt>
            <c:idx val="606"/>
          </c:dPt>
          <c:dPt>
            <c:idx val="607"/>
          </c:dPt>
          <c:dPt>
            <c:idx val="608"/>
          </c:dPt>
          <c:dPt>
            <c:idx val="609"/>
          </c:dPt>
          <c:dPt>
            <c:idx val="610"/>
          </c:dPt>
          <c:dPt>
            <c:idx val="611"/>
          </c:dPt>
          <c:dPt>
            <c:idx val="612"/>
          </c:dPt>
          <c:dPt>
            <c:idx val="613"/>
          </c:dPt>
          <c:dPt>
            <c:idx val="614"/>
          </c:dPt>
          <c:dPt>
            <c:idx val="615"/>
          </c:dPt>
          <c:dPt>
            <c:idx val="616"/>
          </c:dPt>
          <c:dPt>
            <c:idx val="617"/>
          </c:dPt>
          <c:dPt>
            <c:idx val="618"/>
          </c:dPt>
          <c:dPt>
            <c:idx val="619"/>
          </c:dPt>
          <c:dPt>
            <c:idx val="620"/>
          </c:dPt>
          <c:dPt>
            <c:idx val="621"/>
          </c:dPt>
          <c:dPt>
            <c:idx val="622"/>
          </c:dPt>
          <c:dPt>
            <c:idx val="623"/>
          </c:dPt>
          <c:dPt>
            <c:idx val="624"/>
          </c:dPt>
          <c:dPt>
            <c:idx val="625"/>
          </c:dPt>
          <c:dPt>
            <c:idx val="626"/>
          </c:dPt>
          <c:dPt>
            <c:idx val="627"/>
          </c:dPt>
          <c:dPt>
            <c:idx val="628"/>
          </c:dPt>
          <c:dPt>
            <c:idx val="629"/>
          </c:dPt>
          <c:dPt>
            <c:idx val="630"/>
          </c:dPt>
          <c:dPt>
            <c:idx val="631"/>
          </c:dPt>
          <c:dPt>
            <c:idx val="632"/>
          </c:dPt>
          <c:dPt>
            <c:idx val="633"/>
          </c:dPt>
          <c:dPt>
            <c:idx val="634"/>
          </c:dPt>
          <c:dPt>
            <c:idx val="635"/>
          </c:dPt>
          <c:dPt>
            <c:idx val="636"/>
          </c:dPt>
          <c:dPt>
            <c:idx val="637"/>
          </c:dPt>
          <c:dPt>
            <c:idx val="638"/>
          </c:dPt>
          <c:dPt>
            <c:idx val="639"/>
          </c:dPt>
          <c:dPt>
            <c:idx val="640"/>
          </c:dPt>
          <c:dPt>
            <c:idx val="641"/>
          </c:dPt>
          <c:dPt>
            <c:idx val="642"/>
          </c:dPt>
          <c:dPt>
            <c:idx val="643"/>
          </c:dPt>
          <c:dPt>
            <c:idx val="644"/>
          </c:dPt>
          <c:dPt>
            <c:idx val="645"/>
          </c:dPt>
          <c:dPt>
            <c:idx val="646"/>
          </c:dPt>
          <c:dPt>
            <c:idx val="647"/>
          </c:dPt>
          <c:dPt>
            <c:idx val="648"/>
          </c:dPt>
          <c:dPt>
            <c:idx val="649"/>
          </c:dPt>
          <c:dPt>
            <c:idx val="650"/>
          </c:dPt>
          <c:dPt>
            <c:idx val="651"/>
          </c:dPt>
          <c:dPt>
            <c:idx val="652"/>
          </c:dPt>
          <c:dPt>
            <c:idx val="653"/>
          </c:dPt>
          <c:dPt>
            <c:idx val="654"/>
          </c:dPt>
          <c:dPt>
            <c:idx val="655"/>
          </c:dPt>
          <c:dPt>
            <c:idx val="656"/>
          </c:dPt>
          <c:dPt>
            <c:idx val="657"/>
          </c:dPt>
          <c:dPt>
            <c:idx val="658"/>
          </c:dPt>
          <c:dPt>
            <c:idx val="659"/>
          </c:dPt>
          <c:dPt>
            <c:idx val="660"/>
          </c:dPt>
          <c:dPt>
            <c:idx val="661"/>
          </c:dPt>
          <c:dPt>
            <c:idx val="662"/>
          </c:dPt>
          <c:dPt>
            <c:idx val="663"/>
          </c:dPt>
          <c:dPt>
            <c:idx val="664"/>
          </c:dPt>
          <c:dPt>
            <c:idx val="665"/>
          </c:dPt>
          <c:dPt>
            <c:idx val="666"/>
          </c:dPt>
          <c:dPt>
            <c:idx val="667"/>
          </c:dPt>
          <c:dPt>
            <c:idx val="668"/>
          </c:dPt>
          <c:dPt>
            <c:idx val="669"/>
          </c:dPt>
          <c:dPt>
            <c:idx val="670"/>
          </c:dPt>
          <c:dPt>
            <c:idx val="671"/>
          </c:dPt>
          <c:dPt>
            <c:idx val="672"/>
          </c:dPt>
          <c:dPt>
            <c:idx val="673"/>
          </c:dPt>
          <c:dPt>
            <c:idx val="674"/>
          </c:dPt>
          <c:dPt>
            <c:idx val="675"/>
          </c:dPt>
          <c:dPt>
            <c:idx val="676"/>
          </c:dPt>
          <c:dPt>
            <c:idx val="677"/>
          </c:dPt>
          <c:dPt>
            <c:idx val="678"/>
          </c:dPt>
          <c:dPt>
            <c:idx val="679"/>
          </c:dPt>
          <c:dPt>
            <c:idx val="680"/>
          </c:dPt>
          <c:dPt>
            <c:idx val="681"/>
          </c:dPt>
          <c:dPt>
            <c:idx val="682"/>
          </c:dPt>
          <c:dPt>
            <c:idx val="683"/>
          </c:dPt>
          <c:dPt>
            <c:idx val="684"/>
          </c:dPt>
          <c:dPt>
            <c:idx val="685"/>
          </c:dPt>
          <c:dPt>
            <c:idx val="686"/>
          </c:dPt>
          <c:dPt>
            <c:idx val="687"/>
          </c:dPt>
          <c:dPt>
            <c:idx val="688"/>
          </c:dPt>
          <c:dPt>
            <c:idx val="689"/>
          </c:dPt>
          <c:dPt>
            <c:idx val="690"/>
          </c:dPt>
          <c:dPt>
            <c:idx val="691"/>
          </c:dPt>
          <c:dPt>
            <c:idx val="692"/>
          </c:dPt>
          <c:dPt>
            <c:idx val="693"/>
          </c:dPt>
          <c:dPt>
            <c:idx val="694"/>
          </c:dPt>
          <c:dPt>
            <c:idx val="695"/>
          </c:dPt>
          <c:dPt>
            <c:idx val="696"/>
          </c:dPt>
          <c:dPt>
            <c:idx val="697"/>
          </c:dPt>
          <c:dPt>
            <c:idx val="698"/>
          </c:dPt>
          <c:dPt>
            <c:idx val="699"/>
          </c:dPt>
          <c:dPt>
            <c:idx val="700"/>
          </c:dPt>
          <c:dPt>
            <c:idx val="701"/>
          </c:dPt>
          <c:dPt>
            <c:idx val="702"/>
          </c:dPt>
          <c:dPt>
            <c:idx val="703"/>
          </c:dPt>
          <c:dPt>
            <c:idx val="704"/>
          </c:dPt>
          <c:dPt>
            <c:idx val="705"/>
          </c:dPt>
          <c:dPt>
            <c:idx val="706"/>
          </c:dPt>
          <c:dPt>
            <c:idx val="707"/>
          </c:dPt>
          <c:dPt>
            <c:idx val="708"/>
          </c:dPt>
          <c:dPt>
            <c:idx val="709"/>
          </c:dPt>
          <c:dPt>
            <c:idx val="710"/>
          </c:dPt>
          <c:dPt>
            <c:idx val="711"/>
          </c:dPt>
          <c:dPt>
            <c:idx val="712"/>
          </c:dPt>
          <c:dPt>
            <c:idx val="713"/>
          </c:dPt>
          <c:dPt>
            <c:idx val="714"/>
          </c:dPt>
          <c:dPt>
            <c:idx val="715"/>
          </c:dPt>
          <c:dPt>
            <c:idx val="716"/>
          </c:dPt>
          <c:dPt>
            <c:idx val="717"/>
          </c:dPt>
          <c:dPt>
            <c:idx val="718"/>
          </c:dPt>
          <c:dPt>
            <c:idx val="719"/>
          </c:dPt>
          <c:dPt>
            <c:idx val="720"/>
          </c:dPt>
          <c:dPt>
            <c:idx val="721"/>
          </c:dPt>
          <c:dPt>
            <c:idx val="722"/>
          </c:dPt>
          <c:dPt>
            <c:idx val="723"/>
          </c:dPt>
          <c:dPt>
            <c:idx val="724"/>
          </c:dPt>
          <c:dPt>
            <c:idx val="725"/>
          </c:dPt>
          <c:dPt>
            <c:idx val="726"/>
          </c:dPt>
          <c:dPt>
            <c:idx val="727"/>
          </c:dPt>
          <c:dPt>
            <c:idx val="728"/>
          </c:dPt>
          <c:dPt>
            <c:idx val="729"/>
          </c:dPt>
          <c:dPt>
            <c:idx val="730"/>
          </c:dPt>
          <c:dPt>
            <c:idx val="731"/>
          </c:dPt>
          <c:dPt>
            <c:idx val="732"/>
          </c:dPt>
          <c:dPt>
            <c:idx val="733"/>
          </c:dPt>
          <c:dPt>
            <c:idx val="734"/>
          </c:dPt>
          <c:dPt>
            <c:idx val="735"/>
          </c:dPt>
          <c:dPt>
            <c:idx val="736"/>
          </c:dPt>
          <c:dPt>
            <c:idx val="737"/>
          </c:dPt>
          <c:dPt>
            <c:idx val="738"/>
          </c:dPt>
          <c:dPt>
            <c:idx val="739"/>
          </c:dPt>
          <c:dPt>
            <c:idx val="740"/>
          </c:dPt>
          <c:dPt>
            <c:idx val="741"/>
          </c:dPt>
          <c:dPt>
            <c:idx val="742"/>
          </c:dPt>
          <c:dPt>
            <c:idx val="743"/>
          </c:dPt>
          <c:dPt>
            <c:idx val="744"/>
          </c:dPt>
          <c:dPt>
            <c:idx val="745"/>
          </c:dPt>
          <c:dPt>
            <c:idx val="746"/>
          </c:dPt>
          <c:dPt>
            <c:idx val="747"/>
          </c:dPt>
          <c:dPt>
            <c:idx val="748"/>
          </c:dPt>
          <c:dPt>
            <c:idx val="749"/>
          </c:dPt>
          <c:dPt>
            <c:idx val="750"/>
          </c:dPt>
          <c:dPt>
            <c:idx val="751"/>
          </c:dPt>
          <c:dPt>
            <c:idx val="752"/>
          </c:dPt>
          <c:dPt>
            <c:idx val="753"/>
          </c:dPt>
          <c:dPt>
            <c:idx val="754"/>
          </c:dPt>
          <c:dPt>
            <c:idx val="755"/>
          </c:dPt>
          <c:dPt>
            <c:idx val="756"/>
          </c:dPt>
          <c:dPt>
            <c:idx val="757"/>
          </c:dPt>
          <c:dPt>
            <c:idx val="758"/>
          </c:dPt>
          <c:dPt>
            <c:idx val="759"/>
          </c:dPt>
          <c:dPt>
            <c:idx val="760"/>
          </c:dPt>
          <c:dPt>
            <c:idx val="761"/>
          </c:dPt>
          <c:dPt>
            <c:idx val="762"/>
          </c:dPt>
          <c:dPt>
            <c:idx val="763"/>
          </c:dPt>
          <c:dPt>
            <c:idx val="764"/>
          </c:dPt>
          <c:dPt>
            <c:idx val="765"/>
          </c:dPt>
          <c:dPt>
            <c:idx val="766"/>
          </c:dPt>
          <c:dPt>
            <c:idx val="767"/>
          </c:dPt>
          <c:dPt>
            <c:idx val="768"/>
          </c:dPt>
          <c:dPt>
            <c:idx val="769"/>
          </c:dPt>
          <c:dPt>
            <c:idx val="770"/>
          </c:dPt>
          <c:dPt>
            <c:idx val="771"/>
          </c:dPt>
          <c:dPt>
            <c:idx val="772"/>
          </c:dPt>
          <c:dPt>
            <c:idx val="773"/>
          </c:dPt>
          <c:dPt>
            <c:idx val="774"/>
          </c:dPt>
          <c:dPt>
            <c:idx val="775"/>
          </c:dPt>
          <c:dPt>
            <c:idx val="776"/>
          </c:dPt>
          <c:dPt>
            <c:idx val="777"/>
          </c:dPt>
          <c:dPt>
            <c:idx val="778"/>
          </c:dPt>
          <c:dPt>
            <c:idx val="779"/>
          </c:dPt>
          <c:dPt>
            <c:idx val="780"/>
          </c:dPt>
          <c:dPt>
            <c:idx val="781"/>
          </c:dPt>
          <c:dPt>
            <c:idx val="782"/>
          </c:dPt>
          <c:dPt>
            <c:idx val="783"/>
          </c:dPt>
          <c:dPt>
            <c:idx val="784"/>
          </c:dPt>
          <c:dPt>
            <c:idx val="785"/>
          </c:dPt>
          <c:dPt>
            <c:idx val="786"/>
          </c:dPt>
          <c:dPt>
            <c:idx val="787"/>
          </c:dPt>
          <c:dPt>
            <c:idx val="788"/>
          </c:dPt>
          <c:dPt>
            <c:idx val="789"/>
          </c:dPt>
          <c:dPt>
            <c:idx val="790"/>
          </c:dPt>
          <c:dPt>
            <c:idx val="791"/>
          </c:dPt>
          <c:dPt>
            <c:idx val="792"/>
          </c:dPt>
          <c:dPt>
            <c:idx val="793"/>
          </c:dPt>
          <c:dPt>
            <c:idx val="794"/>
          </c:dPt>
          <c:dPt>
            <c:idx val="795"/>
          </c:dPt>
          <c:dPt>
            <c:idx val="796"/>
          </c:dPt>
          <c:dPt>
            <c:idx val="797"/>
          </c:dPt>
          <c:dPt>
            <c:idx val="798"/>
          </c:dPt>
          <c:dPt>
            <c:idx val="799"/>
          </c:dPt>
          <c:dPt>
            <c:idx val="800"/>
          </c:dPt>
          <c:dPt>
            <c:idx val="801"/>
          </c:dPt>
          <c:dPt>
            <c:idx val="802"/>
          </c:dPt>
          <c:dPt>
            <c:idx val="803"/>
          </c:dPt>
          <c:dPt>
            <c:idx val="804"/>
          </c:dPt>
          <c:dPt>
            <c:idx val="805"/>
          </c:dPt>
          <c:dPt>
            <c:idx val="806"/>
          </c:dPt>
          <c:dPt>
            <c:idx val="807"/>
          </c:dPt>
          <c:dPt>
            <c:idx val="808"/>
          </c:dPt>
          <c:dPt>
            <c:idx val="809"/>
          </c:dPt>
          <c:dPt>
            <c:idx val="810"/>
          </c:dPt>
          <c:dPt>
            <c:idx val="811"/>
          </c:dPt>
          <c:dPt>
            <c:idx val="812"/>
          </c:dPt>
          <c:dPt>
            <c:idx val="813"/>
          </c:dPt>
          <c:dPt>
            <c:idx val="814"/>
          </c:dPt>
          <c:dPt>
            <c:idx val="815"/>
          </c:dPt>
          <c:dPt>
            <c:idx val="816"/>
          </c:dPt>
          <c:dPt>
            <c:idx val="817"/>
          </c:dPt>
          <c:dPt>
            <c:idx val="818"/>
          </c:dPt>
          <c:dPt>
            <c:idx val="819"/>
          </c:dPt>
          <c:dPt>
            <c:idx val="820"/>
          </c:dPt>
          <c:dPt>
            <c:idx val="821"/>
          </c:dPt>
          <c:dPt>
            <c:idx val="822"/>
          </c:dPt>
          <c:dPt>
            <c:idx val="823"/>
          </c:dPt>
          <c:dPt>
            <c:idx val="824"/>
          </c:dPt>
          <c:dPt>
            <c:idx val="825"/>
          </c:dPt>
          <c:dPt>
            <c:idx val="826"/>
          </c:dPt>
          <c:dPt>
            <c:idx val="827"/>
          </c:dPt>
          <c:dPt>
            <c:idx val="828"/>
          </c:dPt>
          <c:dPt>
            <c:idx val="829"/>
          </c:dPt>
          <c:dPt>
            <c:idx val="830"/>
          </c:dPt>
          <c:dPt>
            <c:idx val="831"/>
          </c:dPt>
          <c:dPt>
            <c:idx val="832"/>
          </c:dPt>
          <c:dPt>
            <c:idx val="833"/>
          </c:dPt>
          <c:dPt>
            <c:idx val="834"/>
          </c:dPt>
          <c:dPt>
            <c:idx val="835"/>
          </c:dPt>
          <c:dPt>
            <c:idx val="836"/>
          </c:dPt>
          <c:dPt>
            <c:idx val="837"/>
          </c:dPt>
          <c:dPt>
            <c:idx val="838"/>
          </c:dPt>
          <c:dPt>
            <c:idx val="839"/>
          </c:dPt>
          <c:dPt>
            <c:idx val="840"/>
          </c:dPt>
          <c:dPt>
            <c:idx val="841"/>
          </c:dPt>
          <c:dPt>
            <c:idx val="842"/>
          </c:dPt>
          <c:dPt>
            <c:idx val="843"/>
          </c:dPt>
          <c:dPt>
            <c:idx val="844"/>
          </c:dPt>
          <c:dPt>
            <c:idx val="845"/>
          </c:dPt>
          <c:dPt>
            <c:idx val="846"/>
          </c:dPt>
          <c:dPt>
            <c:idx val="847"/>
          </c:dPt>
          <c:dPt>
            <c:idx val="848"/>
          </c:dPt>
          <c:dPt>
            <c:idx val="849"/>
          </c:dPt>
          <c:dPt>
            <c:idx val="850"/>
          </c:dPt>
          <c:dPt>
            <c:idx val="851"/>
          </c:dPt>
          <c:dPt>
            <c:idx val="852"/>
          </c:dPt>
          <c:dPt>
            <c:idx val="853"/>
          </c:dPt>
          <c:dPt>
            <c:idx val="854"/>
          </c:dPt>
          <c:dPt>
            <c:idx val="855"/>
          </c:dPt>
          <c:dPt>
            <c:idx val="856"/>
          </c:dPt>
          <c:dPt>
            <c:idx val="857"/>
          </c:dPt>
          <c:dPt>
            <c:idx val="858"/>
          </c:dPt>
          <c:dPt>
            <c:idx val="859"/>
          </c:dPt>
          <c:dPt>
            <c:idx val="860"/>
          </c:dPt>
          <c:dPt>
            <c:idx val="861"/>
          </c:dPt>
          <c:dPt>
            <c:idx val="862"/>
          </c:dPt>
          <c:dPt>
            <c:idx val="863"/>
          </c:dPt>
          <c:dPt>
            <c:idx val="864"/>
          </c:dPt>
          <c:dPt>
            <c:idx val="865"/>
          </c:dPt>
          <c:dPt>
            <c:idx val="866"/>
          </c:dPt>
          <c:dPt>
            <c:idx val="867"/>
          </c:dPt>
          <c:dPt>
            <c:idx val="868"/>
          </c:dPt>
          <c:dPt>
            <c:idx val="869"/>
          </c:dPt>
          <c:dPt>
            <c:idx val="870"/>
          </c:dPt>
          <c:dPt>
            <c:idx val="871"/>
          </c:dPt>
          <c:dPt>
            <c:idx val="872"/>
          </c:dPt>
          <c:dPt>
            <c:idx val="873"/>
          </c:dPt>
          <c:dPt>
            <c:idx val="874"/>
          </c:dPt>
          <c:dPt>
            <c:idx val="875"/>
          </c:dPt>
          <c:dPt>
            <c:idx val="876"/>
          </c:dPt>
          <c:dPt>
            <c:idx val="877"/>
          </c:dPt>
          <c:dPt>
            <c:idx val="878"/>
          </c:dPt>
          <c:dPt>
            <c:idx val="879"/>
          </c:dPt>
          <c:dPt>
            <c:idx val="880"/>
          </c:dPt>
          <c:dPt>
            <c:idx val="881"/>
          </c:dPt>
          <c:dPt>
            <c:idx val="882"/>
          </c:dPt>
          <c:dPt>
            <c:idx val="883"/>
          </c:dPt>
          <c:dPt>
            <c:idx val="884"/>
          </c:dPt>
          <c:dPt>
            <c:idx val="885"/>
          </c:dPt>
          <c:dPt>
            <c:idx val="886"/>
          </c:dPt>
          <c:dPt>
            <c:idx val="887"/>
          </c:dPt>
          <c:dPt>
            <c:idx val="888"/>
          </c:dPt>
          <c:dPt>
            <c:idx val="889"/>
          </c:dPt>
          <c:dPt>
            <c:idx val="890"/>
          </c:dPt>
          <c:dPt>
            <c:idx val="891"/>
          </c:dPt>
          <c:dPt>
            <c:idx val="892"/>
          </c:dPt>
          <c:dPt>
            <c:idx val="893"/>
          </c:dPt>
          <c:dPt>
            <c:idx val="894"/>
          </c:dPt>
          <c:dPt>
            <c:idx val="895"/>
          </c:dPt>
          <c:dPt>
            <c:idx val="896"/>
          </c:dPt>
          <c:dPt>
            <c:idx val="897"/>
          </c:dPt>
          <c:dPt>
            <c:idx val="898"/>
          </c:dPt>
          <c:dPt>
            <c:idx val="899"/>
          </c:dPt>
          <c:dPt>
            <c:idx val="900"/>
          </c:dPt>
          <c:dPt>
            <c:idx val="901"/>
          </c:dPt>
          <c:dPt>
            <c:idx val="902"/>
          </c:dPt>
          <c:dPt>
            <c:idx val="903"/>
          </c:dPt>
          <c:dPt>
            <c:idx val="904"/>
          </c:dPt>
          <c:dPt>
            <c:idx val="905"/>
          </c:dPt>
          <c:dPt>
            <c:idx val="906"/>
          </c:dPt>
          <c:dPt>
            <c:idx val="907"/>
          </c:dPt>
          <c:dPt>
            <c:idx val="908"/>
          </c:dPt>
          <c:dPt>
            <c:idx val="909"/>
          </c:dPt>
          <c:dPt>
            <c:idx val="910"/>
          </c:dPt>
          <c:dPt>
            <c:idx val="911"/>
          </c:dPt>
          <c:dPt>
            <c:idx val="912"/>
          </c:dPt>
          <c:dPt>
            <c:idx val="913"/>
          </c:dPt>
          <c:dPt>
            <c:idx val="914"/>
          </c:dPt>
          <c:dPt>
            <c:idx val="915"/>
          </c:dPt>
          <c:dPt>
            <c:idx val="916"/>
          </c:dPt>
          <c:dPt>
            <c:idx val="917"/>
          </c:dPt>
          <c:dPt>
            <c:idx val="918"/>
          </c:dPt>
          <c:dPt>
            <c:idx val="919"/>
          </c:dPt>
          <c:dPt>
            <c:idx val="920"/>
          </c:dPt>
          <c:dPt>
            <c:idx val="921"/>
          </c:dPt>
          <c:dPt>
            <c:idx val="922"/>
          </c:dPt>
          <c:dPt>
            <c:idx val="923"/>
          </c:dPt>
          <c:dPt>
            <c:idx val="924"/>
          </c:dPt>
          <c:dPt>
            <c:idx val="925"/>
          </c:dPt>
          <c:dPt>
            <c:idx val="926"/>
          </c:dPt>
          <c:dPt>
            <c:idx val="927"/>
          </c:dPt>
          <c:dPt>
            <c:idx val="928"/>
          </c:dPt>
          <c:dPt>
            <c:idx val="929"/>
          </c:dPt>
          <c:dPt>
            <c:idx val="930"/>
          </c:dPt>
          <c:dPt>
            <c:idx val="931"/>
          </c:dPt>
          <c:dPt>
            <c:idx val="932"/>
          </c:dPt>
          <c:dPt>
            <c:idx val="933"/>
          </c:dPt>
          <c:dPt>
            <c:idx val="934"/>
          </c:dPt>
          <c:dPt>
            <c:idx val="935"/>
          </c:dPt>
          <c:dPt>
            <c:idx val="936"/>
          </c:dPt>
          <c:dPt>
            <c:idx val="937"/>
          </c:dPt>
          <c:dPt>
            <c:idx val="938"/>
          </c:dPt>
          <c:dPt>
            <c:idx val="939"/>
          </c:dPt>
          <c:dPt>
            <c:idx val="940"/>
          </c:dPt>
          <c:dPt>
            <c:idx val="941"/>
          </c:dPt>
          <c:dPt>
            <c:idx val="942"/>
          </c:dPt>
          <c:dPt>
            <c:idx val="943"/>
          </c:dPt>
          <c:dPt>
            <c:idx val="944"/>
          </c:dPt>
          <c:dPt>
            <c:idx val="945"/>
          </c:dPt>
          <c:dPt>
            <c:idx val="946"/>
          </c:dPt>
          <c:dPt>
            <c:idx val="947"/>
          </c:dPt>
          <c:dPt>
            <c:idx val="948"/>
          </c:dPt>
          <c:dPt>
            <c:idx val="949"/>
          </c:dPt>
          <c:dPt>
            <c:idx val="950"/>
          </c:dPt>
          <c:dPt>
            <c:idx val="951"/>
          </c:dPt>
          <c:dPt>
            <c:idx val="952"/>
          </c:dPt>
          <c:dPt>
            <c:idx val="953"/>
          </c:dPt>
          <c:dPt>
            <c:idx val="954"/>
          </c:dPt>
          <c:dPt>
            <c:idx val="955"/>
          </c:dPt>
          <c:dPt>
            <c:idx val="956"/>
          </c:dPt>
          <c:dPt>
            <c:idx val="957"/>
          </c:dPt>
          <c:dPt>
            <c:idx val="958"/>
          </c:dPt>
          <c:dPt>
            <c:idx val="959"/>
          </c:dPt>
          <c:dPt>
            <c:idx val="960"/>
          </c:dPt>
          <c:dPt>
            <c:idx val="961"/>
          </c:dPt>
          <c:dPt>
            <c:idx val="962"/>
          </c:dPt>
          <c:dPt>
            <c:idx val="963"/>
          </c:dPt>
          <c:dPt>
            <c:idx val="964"/>
          </c:dPt>
          <c:dPt>
            <c:idx val="965"/>
          </c:dPt>
          <c:dPt>
            <c:idx val="966"/>
          </c:dPt>
          <c:dPt>
            <c:idx val="967"/>
          </c:dPt>
          <c:dPt>
            <c:idx val="968"/>
          </c:dPt>
          <c:dPt>
            <c:idx val="969"/>
          </c:dPt>
          <c:dPt>
            <c:idx val="970"/>
          </c:dPt>
          <c:dPt>
            <c:idx val="971"/>
          </c:dPt>
          <c:dPt>
            <c:idx val="972"/>
          </c:dPt>
          <c:dPt>
            <c:idx val="973"/>
          </c:dPt>
          <c:dPt>
            <c:idx val="974"/>
          </c:dPt>
          <c:dPt>
            <c:idx val="975"/>
          </c:dPt>
          <c:dPt>
            <c:idx val="976"/>
          </c:dPt>
          <c:dPt>
            <c:idx val="977"/>
          </c:dPt>
          <c:dPt>
            <c:idx val="978"/>
          </c:dPt>
          <c:dPt>
            <c:idx val="979"/>
          </c:dPt>
          <c:dPt>
            <c:idx val="980"/>
          </c:dPt>
          <c:dPt>
            <c:idx val="981"/>
          </c:dPt>
          <c:dPt>
            <c:idx val="982"/>
          </c:dPt>
          <c:dPt>
            <c:idx val="983"/>
          </c:dPt>
          <c:dPt>
            <c:idx val="984"/>
          </c:dPt>
          <c:dPt>
            <c:idx val="985"/>
          </c:dPt>
          <c:dPt>
            <c:idx val="986"/>
          </c:dPt>
          <c:dPt>
            <c:idx val="987"/>
          </c:dPt>
          <c:dPt>
            <c:idx val="988"/>
          </c:dPt>
          <c:dPt>
            <c:idx val="989"/>
          </c:dPt>
          <c:dPt>
            <c:idx val="990"/>
          </c:dPt>
          <c:dPt>
            <c:idx val="991"/>
          </c:dPt>
          <c:dPt>
            <c:idx val="992"/>
          </c:dPt>
          <c:dPt>
            <c:idx val="993"/>
          </c:dPt>
          <c:dPt>
            <c:idx val="994"/>
          </c:dPt>
          <c:dPt>
            <c:idx val="995"/>
          </c:dPt>
          <c:dLbls>
            <c:showLegendKey val="0"/>
            <c:showVal val="0"/>
            <c:showCatName val="0"/>
            <c:showSerName val="0"/>
            <c:showPercent val="0"/>
            <c:showBubbleSize val="0"/>
            <c:showLeaderLines val="1"/>
          </c:dLbls>
          <c:cat>
            <c:strRef>
              <c:f>Calc_Data!$A$5:$A$1000</c:f>
            </c:strRef>
          </c:cat>
          <c:val>
            <c:numRef>
              <c:f>Calc_Data!$B$5:$B$1000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Follow-up Assignees</a:t>
            </a:r>
          </a:p>
        </c:rich>
      </c:tx>
      <c:overlay val="0"/>
    </c:title>
    <c:plotArea>
      <c:layout/>
      <c:barChart>
        <c:barDir val="col"/>
        <c:ser>
          <c:idx val="0"/>
          <c:order val="0"/>
          <c:tx>
            <c:strRef>
              <c:f>Calc_Data!$E$5</c:f>
            </c:strRef>
          </c:tx>
          <c:spPr>
            <a:solidFill>
              <a:srgbClr val="35608D"/>
            </a:solidFill>
            <a:ln cmpd="sng">
              <a:solidFill>
                <a:srgbClr val="000000"/>
              </a:solidFill>
            </a:ln>
          </c:spPr>
          <c:cat>
            <c:strRef>
              <c:f>Calc_Data!$D$6:$D$1000</c:f>
            </c:strRef>
          </c:cat>
          <c:val>
            <c:numRef>
              <c:f>Calc_Data!$E$6:$E$1000</c:f>
              <c:numCache/>
            </c:numRef>
          </c:val>
        </c:ser>
        <c:axId val="1881086208"/>
        <c:axId val="1327742603"/>
      </c:barChart>
      <c:catAx>
        <c:axId val="18810862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Assignee</a:t>
                </a:r>
              </a:p>
            </c:rich>
          </c:tx>
          <c:overlay val="0"/>
        </c:title>
        <c:numFmt formatCode="General" sourceLinked="1"/>
        <c:majorTickMark val="none"/>
        <c:minorTickMark val="none"/>
        <c:spPr/>
        <c:txPr>
          <a:bodyPr/>
          <a:lstStyle/>
          <a:p>
            <a:pPr lvl="0">
              <a:defRPr b="0">
                <a:solidFill>
                  <a:srgbClr val="000000"/>
                </a:solidFill>
                <a:latin typeface="+mn-lt"/>
              </a:defRPr>
            </a:pPr>
          </a:p>
        </c:txPr>
        <c:crossAx val="1327742603"/>
      </c:catAx>
      <c:valAx>
        <c:axId val="13277426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8108620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Top Locations</a:t>
            </a:r>
          </a:p>
        </c:rich>
      </c:tx>
      <c:overlay val="0"/>
    </c:title>
    <c:plotArea>
      <c:layout/>
      <c:barChart>
        <c:barDir val="bar"/>
        <c:ser>
          <c:idx val="0"/>
          <c:order val="0"/>
          <c:tx>
            <c:strRef>
              <c:f>Calc_Data!$H$5</c:f>
            </c:strRef>
          </c:tx>
          <c:spPr>
            <a:solidFill>
              <a:srgbClr val="35608D"/>
            </a:solidFill>
            <a:ln cmpd="sng">
              <a:solidFill>
                <a:srgbClr val="000000"/>
              </a:solidFill>
            </a:ln>
          </c:spPr>
          <c:cat>
            <c:strRef>
              <c:f>Calc_Data!$G$6:$G$1000</c:f>
            </c:strRef>
          </c:cat>
          <c:val>
            <c:numRef>
              <c:f>Calc_Data!$H$6:$H$1000</c:f>
              <c:numCache/>
            </c:numRef>
          </c:val>
        </c:ser>
        <c:axId val="536856192"/>
        <c:axId val="188685021"/>
      </c:barChart>
      <c:catAx>
        <c:axId val="53685619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Location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88685021"/>
      </c:catAx>
      <c:valAx>
        <c:axId val="18868502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36856192"/>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chart" Target="../charts/chart2.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xdr:row>
      <xdr:rowOff>0</xdr:rowOff>
    </xdr:from>
    <xdr:ext cx="2857500" cy="1428750"/>
    <xdr:pic>
      <xdr:nvPicPr>
        <xdr:cNvPr id="1867554280" name="Chart1" title="Total Patients">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4</xdr:row>
      <xdr:rowOff>0</xdr:rowOff>
    </xdr:from>
    <xdr:ext cx="4762500" cy="2667000"/>
    <xdr:graphicFrame>
      <xdr:nvGraphicFramePr>
        <xdr:cNvPr id="2" name="Chart 2" title="Status Breakdown"/>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0</xdr:colOff>
      <xdr:row>4</xdr:row>
      <xdr:rowOff>0</xdr:rowOff>
    </xdr:from>
    <xdr:ext cx="3810000" cy="2667000"/>
    <xdr:graphicFrame>
      <xdr:nvGraphicFramePr>
        <xdr:cNvPr id="3" name="Chart 3" title="Follow-up Assignees"/>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28575</xdr:colOff>
      <xdr:row>18</xdr:row>
      <xdr:rowOff>190500</xdr:rowOff>
    </xdr:from>
    <xdr:ext cx="7620000" cy="2857500"/>
    <xdr:graphicFrame>
      <xdr:nvGraphicFramePr>
        <xdr:cNvPr id="4" name="Chart 4" title="Top Locations"/>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P386" displayName="Tugas_project" name="Tugas_project" id="1">
  <tableColumns count="16">
    <tableColumn name="Nama Pasien" id="1"/>
    <tableColumn name="Usia" id="2"/>
    <tableColumn name="Domisili" id="3"/>
    <tableColumn name="No Telp" id="4"/>
    <tableColumn name="Keluhan" id="5"/>
    <tableColumn name="Pertanyaan" id="6"/>
    <tableColumn name="PENUNJANG" id="7"/>
    <tableColumn name="FR" id="8"/>
    <tableColumn name="Status" id="9"/>
    <tableColumn name="FU/RC" id="10"/>
    <tableColumn name="Note RC" id="11"/>
    <tableColumn name="Tanggal mulai" id="12"/>
    <tableColumn name="Tanggal akhir" id="13"/>
    <tableColumn name="Pencapaian" id="14"/>
    <tableColumn name="Catatan" id="15"/>
    <tableColumn name="Revenue" id="1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table" Target="../tables/table1.xml"/><Relationship Id="rId11" Type="http://schemas.openxmlformats.org/officeDocument/2006/relationships/hyperlink" Target="https://drive.google.com/drive/folders/1rnH3KiAWxAiX46hYrx-pSg7xw9rGfGWm?usp=share_link" TargetMode="External"/><Relationship Id="rId10" Type="http://schemas.openxmlformats.org/officeDocument/2006/relationships/hyperlink" Target="https://drive.google.com/drive/folders/13AEfgfhzpYnWIgHPVZEux0n-AiAja97K?usp=share_link" TargetMode="External"/><Relationship Id="rId13" Type="http://schemas.openxmlformats.org/officeDocument/2006/relationships/hyperlink" Target="https://drive.google.com/drive/folders/1MeGkU1bb4CDLXyT2-g8bZYfBY3hi2Va8?usp=share_link" TargetMode="External"/><Relationship Id="rId12" Type="http://schemas.openxmlformats.org/officeDocument/2006/relationships/hyperlink" Target="https://drive.google.com/drive/folders/1nwsY7hUXIw1kdV54R_aSZLeAJ9ib00F4?usp=share_link" TargetMode="External"/><Relationship Id="rId1" Type="http://schemas.openxmlformats.org/officeDocument/2006/relationships/hyperlink" Target="https://drive.google.com/drive/folders/1bdLaoQWuO6g_SFkHzxMrx9qcrGIouopA?usp=share_link" TargetMode="External"/><Relationship Id="rId2" Type="http://schemas.openxmlformats.org/officeDocument/2006/relationships/hyperlink" Target="https://drive.google.com/drive/folders/13_3XHz8dT4xEfgJewRpUTi6hbH9_j9sv?usp=share_link" TargetMode="External"/><Relationship Id="rId3" Type="http://schemas.openxmlformats.org/officeDocument/2006/relationships/hyperlink" Target="https://drive.google.com/file/d/1iB_xpPoOBozLoDzoXn9Lo4JUU9RxmLDE/view?usp=share_link" TargetMode="External"/><Relationship Id="rId4" Type="http://schemas.openxmlformats.org/officeDocument/2006/relationships/hyperlink" Target="https://drive.google.com/drive/folders/1IDB0xY4j69S9wYOa4LEHzaa5wMFPyWPZ?usp=share_link" TargetMode="External"/><Relationship Id="rId9" Type="http://schemas.openxmlformats.org/officeDocument/2006/relationships/hyperlink" Target="https://drive.google.com/drive/folders/1nMy1gwThhOJnnAB1-HHnjAfIGluFWuVw?usp=share_link" TargetMode="External"/><Relationship Id="rId15" Type="http://schemas.openxmlformats.org/officeDocument/2006/relationships/hyperlink" Target="https://drive.google.com/drive/folders/1HfwEnI7HTAU_YtCizstRIZV9nX7D_wlc?usp=share_link" TargetMode="External"/><Relationship Id="rId14" Type="http://schemas.openxmlformats.org/officeDocument/2006/relationships/hyperlink" Target="https://drive.google.com/drive/folders/1FHKmIMcE2fSNHyO9jWXb5M0AomlrL8DU?usp=share_link" TargetMode="External"/><Relationship Id="rId17" Type="http://schemas.openxmlformats.org/officeDocument/2006/relationships/hyperlink" Target="https://drive.google.com/drive/folders/1ti8w3LjaRRnyxEiIbRk608ztqK6v1NjU?usp=share_link" TargetMode="External"/><Relationship Id="rId16" Type="http://schemas.openxmlformats.org/officeDocument/2006/relationships/hyperlink" Target="https://drive.google.com/drive/folders/1RTIzzA-Og8bc6vi8TqnrE5w1Lad6pCqR?usp=share_link" TargetMode="External"/><Relationship Id="rId5" Type="http://schemas.openxmlformats.org/officeDocument/2006/relationships/hyperlink" Target="https://drive.google.com/drive/folders/1R6nd0IOGGRhKsjxJh0Auaj4CU89ONICH?usp=share_link" TargetMode="External"/><Relationship Id="rId6" Type="http://schemas.openxmlformats.org/officeDocument/2006/relationships/hyperlink" Target="https://drive.google.com/drive/folders/1bKNYerrEgC8bHasmLTbY95U0uWMJGfFa?usp=share_link" TargetMode="External"/><Relationship Id="rId18" Type="http://schemas.openxmlformats.org/officeDocument/2006/relationships/drawing" Target="../drawings/drawing1.xml"/><Relationship Id="rId7" Type="http://schemas.openxmlformats.org/officeDocument/2006/relationships/hyperlink" Target="https://drive.google.com/drive/folders/1VJHBxQZyes_QBTYAX-2mte9iKToVbHgV?usp=share_link" TargetMode="External"/><Relationship Id="rId8" Type="http://schemas.openxmlformats.org/officeDocument/2006/relationships/hyperlink" Target="https://drive.google.com/drive/folders/1vE9CbYn6c33h2weM-Gv4YWmeqQRUaVhP?usp=shar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13"/>
    <col customWidth="1" min="2" max="2" width="9.0"/>
    <col customWidth="1" min="3" max="4" width="15.13"/>
    <col customWidth="1" min="5" max="5" width="29.63"/>
    <col customWidth="1" min="6" max="6" width="27.75"/>
    <col customWidth="1" min="7" max="7" width="28.5"/>
    <col customWidth="1" min="8" max="8" width="15.13"/>
    <col customWidth="1" min="9" max="9" width="24.0"/>
    <col customWidth="1" min="10" max="10" width="17.75"/>
    <col customWidth="1" min="11" max="11" width="20.75"/>
    <col customWidth="1" min="12" max="14" width="20.13"/>
    <col customWidth="1" min="15" max="15" width="27.5"/>
  </cols>
  <sheetData>
    <row r="1" ht="22.5" customHeight="1">
      <c r="A1" s="1" t="s">
        <v>0</v>
      </c>
      <c r="B1" s="2" t="s">
        <v>1</v>
      </c>
      <c r="C1" s="2" t="s">
        <v>2</v>
      </c>
      <c r="D1" s="2" t="s">
        <v>3</v>
      </c>
      <c r="E1" s="1" t="s">
        <v>4</v>
      </c>
      <c r="F1" s="1" t="s">
        <v>5</v>
      </c>
      <c r="G1" s="1" t="s">
        <v>6</v>
      </c>
      <c r="H1" s="1" t="s">
        <v>7</v>
      </c>
      <c r="I1" s="1" t="s">
        <v>8</v>
      </c>
      <c r="J1" s="2" t="s">
        <v>9</v>
      </c>
      <c r="K1" s="2" t="s">
        <v>10</v>
      </c>
      <c r="L1" s="2" t="s">
        <v>11</v>
      </c>
      <c r="M1" s="1" t="s">
        <v>12</v>
      </c>
      <c r="N1" s="1" t="s">
        <v>13</v>
      </c>
      <c r="O1" s="1" t="s">
        <v>14</v>
      </c>
      <c r="P1" s="3" t="s">
        <v>15</v>
      </c>
    </row>
    <row r="2" ht="22.5" customHeight="1">
      <c r="A2" s="4" t="s">
        <v>16</v>
      </c>
      <c r="B2" s="5"/>
      <c r="C2" s="5"/>
      <c r="D2" s="6" t="s">
        <v>17</v>
      </c>
      <c r="E2" s="7"/>
      <c r="F2" s="7"/>
      <c r="G2" s="4"/>
      <c r="H2" s="8" t="s">
        <v>18</v>
      </c>
      <c r="I2" s="8" t="s">
        <v>19</v>
      </c>
      <c r="J2" s="8" t="s">
        <v>20</v>
      </c>
      <c r="K2" s="9"/>
      <c r="L2" s="10">
        <v>46153.0</v>
      </c>
      <c r="M2" s="11"/>
      <c r="N2" s="8" t="s">
        <v>20</v>
      </c>
      <c r="O2" s="4" t="s">
        <v>21</v>
      </c>
    </row>
    <row r="3" ht="22.5" customHeight="1">
      <c r="A3" s="4" t="s">
        <v>22</v>
      </c>
      <c r="B3" s="12">
        <v>75.0</v>
      </c>
      <c r="C3" s="5"/>
      <c r="D3" s="6" t="s">
        <v>23</v>
      </c>
      <c r="E3" s="13" t="s">
        <v>24</v>
      </c>
      <c r="F3" s="13" t="s">
        <v>25</v>
      </c>
      <c r="G3" s="14" t="s">
        <v>26</v>
      </c>
      <c r="H3" s="8" t="s">
        <v>18</v>
      </c>
      <c r="I3" s="8" t="s">
        <v>27</v>
      </c>
      <c r="J3" s="8" t="s">
        <v>28</v>
      </c>
      <c r="K3" s="9"/>
      <c r="L3" s="10">
        <v>46153.0</v>
      </c>
      <c r="M3" s="11"/>
      <c r="N3" s="8" t="s">
        <v>20</v>
      </c>
      <c r="O3" s="4" t="s">
        <v>29</v>
      </c>
    </row>
    <row r="4" ht="22.5" customHeight="1">
      <c r="A4" s="4" t="s">
        <v>30</v>
      </c>
      <c r="B4" s="12">
        <v>54.0</v>
      </c>
      <c r="C4" s="5"/>
      <c r="D4" s="12"/>
      <c r="E4" s="7"/>
      <c r="F4" s="7"/>
      <c r="G4" s="4"/>
      <c r="H4" s="8" t="s">
        <v>18</v>
      </c>
      <c r="I4" s="8" t="s">
        <v>19</v>
      </c>
      <c r="J4" s="8" t="s">
        <v>20</v>
      </c>
      <c r="K4" s="9"/>
      <c r="L4" s="10">
        <v>46153.0</v>
      </c>
      <c r="M4" s="11"/>
      <c r="N4" s="15"/>
      <c r="O4" s="4" t="s">
        <v>21</v>
      </c>
    </row>
    <row r="5" ht="22.5" customHeight="1">
      <c r="A5" s="4" t="s">
        <v>31</v>
      </c>
      <c r="B5" s="12">
        <v>67.0</v>
      </c>
      <c r="C5" s="5"/>
      <c r="D5" s="6" t="s">
        <v>32</v>
      </c>
      <c r="E5" s="13" t="s">
        <v>33</v>
      </c>
      <c r="F5" s="7"/>
      <c r="G5" s="14"/>
      <c r="H5" s="8" t="s">
        <v>18</v>
      </c>
      <c r="I5" s="8" t="s">
        <v>34</v>
      </c>
      <c r="J5" s="8" t="s">
        <v>35</v>
      </c>
      <c r="K5" s="9"/>
      <c r="L5" s="10">
        <v>46153.0</v>
      </c>
      <c r="M5" s="11"/>
      <c r="N5" s="15"/>
      <c r="O5" s="4" t="s">
        <v>36</v>
      </c>
    </row>
    <row r="6" ht="22.5" customHeight="1">
      <c r="A6" s="4" t="s">
        <v>37</v>
      </c>
      <c r="B6" s="12">
        <v>71.0</v>
      </c>
      <c r="C6" s="12" t="s">
        <v>38</v>
      </c>
      <c r="D6" s="6" t="s">
        <v>39</v>
      </c>
      <c r="E6" s="13" t="s">
        <v>40</v>
      </c>
      <c r="F6" s="13" t="s">
        <v>41</v>
      </c>
      <c r="G6" s="16" t="s">
        <v>42</v>
      </c>
      <c r="H6" s="8" t="s">
        <v>18</v>
      </c>
      <c r="I6" s="8" t="s">
        <v>27</v>
      </c>
      <c r="J6" s="8" t="s">
        <v>28</v>
      </c>
      <c r="K6" s="9"/>
      <c r="L6" s="10">
        <v>46153.0</v>
      </c>
      <c r="M6" s="11"/>
      <c r="N6" s="15"/>
      <c r="O6" s="17"/>
    </row>
    <row r="7" ht="22.5" customHeight="1">
      <c r="A7" s="4" t="s">
        <v>43</v>
      </c>
      <c r="B7" s="12">
        <v>79.0</v>
      </c>
      <c r="C7" s="18"/>
      <c r="D7" s="12" t="s">
        <v>44</v>
      </c>
      <c r="E7" s="13" t="s">
        <v>45</v>
      </c>
      <c r="F7" s="19"/>
      <c r="G7" s="20" t="s">
        <v>46</v>
      </c>
      <c r="H7" s="8" t="s">
        <v>18</v>
      </c>
      <c r="I7" s="8" t="s">
        <v>27</v>
      </c>
      <c r="J7" s="8" t="s">
        <v>28</v>
      </c>
      <c r="K7" s="9"/>
      <c r="L7" s="10">
        <v>46153.0</v>
      </c>
      <c r="M7" s="11"/>
      <c r="N7" s="15"/>
      <c r="O7" s="17"/>
    </row>
    <row r="8" ht="22.5" customHeight="1">
      <c r="A8" s="4" t="s">
        <v>47</v>
      </c>
      <c r="B8" s="18"/>
      <c r="C8" s="18"/>
      <c r="D8" s="6" t="s">
        <v>48</v>
      </c>
      <c r="E8" s="13" t="s">
        <v>49</v>
      </c>
      <c r="F8" s="19"/>
      <c r="G8" s="4"/>
      <c r="H8" s="8" t="s">
        <v>18</v>
      </c>
      <c r="I8" s="8" t="s">
        <v>34</v>
      </c>
      <c r="J8" s="8" t="s">
        <v>35</v>
      </c>
      <c r="K8" s="9"/>
      <c r="L8" s="10">
        <v>46153.0</v>
      </c>
      <c r="M8" s="11"/>
      <c r="N8" s="15"/>
      <c r="O8" s="4" t="s">
        <v>50</v>
      </c>
    </row>
    <row r="9" ht="22.5" customHeight="1">
      <c r="A9" s="4" t="s">
        <v>51</v>
      </c>
      <c r="B9" s="18"/>
      <c r="C9" s="18"/>
      <c r="D9" s="6" t="s">
        <v>52</v>
      </c>
      <c r="E9" s="19"/>
      <c r="F9" s="13" t="s">
        <v>53</v>
      </c>
      <c r="G9" s="4"/>
      <c r="H9" s="8" t="s">
        <v>18</v>
      </c>
      <c r="I9" s="8" t="s">
        <v>19</v>
      </c>
      <c r="J9" s="8" t="s">
        <v>20</v>
      </c>
      <c r="K9" s="9"/>
      <c r="L9" s="10">
        <v>46153.0</v>
      </c>
      <c r="M9" s="11"/>
      <c r="N9" s="15"/>
      <c r="O9" s="4" t="s">
        <v>54</v>
      </c>
    </row>
    <row r="10" ht="22.5" customHeight="1">
      <c r="A10" s="4" t="s">
        <v>55</v>
      </c>
      <c r="B10" s="18"/>
      <c r="C10" s="12" t="s">
        <v>56</v>
      </c>
      <c r="D10" s="6" t="s">
        <v>57</v>
      </c>
      <c r="E10" s="13" t="s">
        <v>58</v>
      </c>
      <c r="F10" s="19"/>
      <c r="G10" s="4"/>
      <c r="H10" s="8" t="s">
        <v>18</v>
      </c>
      <c r="I10" s="8" t="s">
        <v>34</v>
      </c>
      <c r="J10" s="8" t="s">
        <v>59</v>
      </c>
      <c r="K10" s="21" t="s">
        <v>60</v>
      </c>
      <c r="L10" s="10">
        <v>46153.0</v>
      </c>
      <c r="M10" s="11"/>
      <c r="N10" s="15"/>
      <c r="O10" s="4" t="s">
        <v>61</v>
      </c>
    </row>
    <row r="11" ht="22.5" customHeight="1">
      <c r="A11" s="4" t="s">
        <v>62</v>
      </c>
      <c r="B11" s="12">
        <v>60.0</v>
      </c>
      <c r="C11" s="18"/>
      <c r="D11" s="6" t="s">
        <v>63</v>
      </c>
      <c r="E11" s="13" t="s">
        <v>64</v>
      </c>
      <c r="F11" s="19"/>
      <c r="G11" s="4"/>
      <c r="H11" s="8" t="s">
        <v>18</v>
      </c>
      <c r="I11" s="8" t="s">
        <v>19</v>
      </c>
      <c r="J11" s="8" t="s">
        <v>20</v>
      </c>
      <c r="K11" s="9"/>
      <c r="L11" s="10">
        <v>46153.0</v>
      </c>
      <c r="M11" s="11"/>
      <c r="N11" s="15"/>
      <c r="O11" s="4" t="s">
        <v>65</v>
      </c>
    </row>
    <row r="12" ht="22.5" customHeight="1">
      <c r="A12" s="4" t="s">
        <v>66</v>
      </c>
      <c r="B12" s="12">
        <v>68.0</v>
      </c>
      <c r="C12" s="12" t="s">
        <v>67</v>
      </c>
      <c r="D12" s="6" t="s">
        <v>68</v>
      </c>
      <c r="E12" s="13" t="s">
        <v>69</v>
      </c>
      <c r="F12" s="13" t="s">
        <v>70</v>
      </c>
      <c r="G12" s="14"/>
      <c r="H12" s="8" t="s">
        <v>18</v>
      </c>
      <c r="I12" s="8" t="s">
        <v>34</v>
      </c>
      <c r="J12" s="8" t="s">
        <v>59</v>
      </c>
      <c r="K12" s="21" t="s">
        <v>60</v>
      </c>
      <c r="L12" s="10">
        <v>46153.0</v>
      </c>
      <c r="M12" s="11"/>
      <c r="N12" s="15"/>
      <c r="O12" s="4" t="s">
        <v>71</v>
      </c>
    </row>
    <row r="13" ht="22.5" customHeight="1">
      <c r="A13" s="4" t="s">
        <v>72</v>
      </c>
      <c r="B13" s="12">
        <v>58.0</v>
      </c>
      <c r="C13" s="12" t="s">
        <v>73</v>
      </c>
      <c r="D13" s="6" t="s">
        <v>74</v>
      </c>
      <c r="E13" s="13" t="s">
        <v>75</v>
      </c>
      <c r="F13" s="19"/>
      <c r="G13" s="4"/>
      <c r="H13" s="8" t="s">
        <v>18</v>
      </c>
      <c r="I13" s="8" t="s">
        <v>34</v>
      </c>
      <c r="J13" s="8" t="s">
        <v>35</v>
      </c>
      <c r="K13" s="11"/>
      <c r="L13" s="10">
        <v>46153.0</v>
      </c>
      <c r="M13" s="11"/>
      <c r="N13" s="15"/>
      <c r="O13" s="4" t="s">
        <v>76</v>
      </c>
    </row>
    <row r="14" ht="22.5" customHeight="1">
      <c r="A14" s="4" t="s">
        <v>77</v>
      </c>
      <c r="B14" s="12">
        <v>66.0</v>
      </c>
      <c r="C14" s="12" t="s">
        <v>78</v>
      </c>
      <c r="D14" s="6" t="s">
        <v>79</v>
      </c>
      <c r="E14" s="13" t="s">
        <v>80</v>
      </c>
      <c r="F14" s="13" t="s">
        <v>81</v>
      </c>
      <c r="G14" s="17"/>
      <c r="H14" s="8" t="s">
        <v>18</v>
      </c>
      <c r="I14" s="8" t="s">
        <v>34</v>
      </c>
      <c r="J14" s="8" t="s">
        <v>59</v>
      </c>
      <c r="K14" s="21" t="s">
        <v>60</v>
      </c>
      <c r="L14" s="10">
        <v>46153.0</v>
      </c>
      <c r="M14" s="11"/>
      <c r="N14" s="15"/>
      <c r="O14" s="4" t="s">
        <v>82</v>
      </c>
    </row>
    <row r="15" ht="22.5" customHeight="1">
      <c r="A15" s="4" t="s">
        <v>83</v>
      </c>
      <c r="B15" s="12">
        <v>55.0</v>
      </c>
      <c r="C15" s="18"/>
      <c r="D15" s="6" t="s">
        <v>84</v>
      </c>
      <c r="E15" s="13" t="s">
        <v>85</v>
      </c>
      <c r="F15" s="19"/>
      <c r="G15" s="22"/>
      <c r="H15" s="8" t="s">
        <v>18</v>
      </c>
      <c r="I15" s="8" t="s">
        <v>34</v>
      </c>
      <c r="J15" s="8" t="s">
        <v>35</v>
      </c>
      <c r="K15" s="11"/>
      <c r="L15" s="10">
        <v>46153.0</v>
      </c>
      <c r="M15" s="11"/>
      <c r="N15" s="15"/>
      <c r="O15" s="4" t="s">
        <v>86</v>
      </c>
    </row>
    <row r="16" ht="22.5" customHeight="1">
      <c r="A16" s="4" t="s">
        <v>87</v>
      </c>
      <c r="B16" s="12">
        <v>52.0</v>
      </c>
      <c r="C16" s="12" t="s">
        <v>88</v>
      </c>
      <c r="D16" s="6" t="s">
        <v>89</v>
      </c>
      <c r="E16" s="13" t="s">
        <v>90</v>
      </c>
      <c r="F16" s="19"/>
      <c r="G16" s="17"/>
      <c r="H16" s="8" t="s">
        <v>18</v>
      </c>
      <c r="I16" s="8" t="s">
        <v>19</v>
      </c>
      <c r="J16" s="8" t="s">
        <v>20</v>
      </c>
      <c r="K16" s="11"/>
      <c r="L16" s="10">
        <v>46153.0</v>
      </c>
      <c r="M16" s="11"/>
      <c r="N16" s="15"/>
      <c r="O16" s="4" t="s">
        <v>91</v>
      </c>
    </row>
    <row r="17" ht="22.5" customHeight="1">
      <c r="A17" s="4" t="s">
        <v>92</v>
      </c>
      <c r="B17" s="12">
        <v>65.0</v>
      </c>
      <c r="C17" s="12" t="s">
        <v>93</v>
      </c>
      <c r="D17" s="6" t="s">
        <v>94</v>
      </c>
      <c r="E17" s="13" t="s">
        <v>95</v>
      </c>
      <c r="F17" s="19"/>
      <c r="G17" s="14"/>
      <c r="H17" s="8" t="s">
        <v>18</v>
      </c>
      <c r="I17" s="8" t="s">
        <v>34</v>
      </c>
      <c r="J17" s="8" t="s">
        <v>35</v>
      </c>
      <c r="K17" s="11"/>
      <c r="L17" s="10">
        <v>46153.0</v>
      </c>
      <c r="M17" s="11"/>
      <c r="N17" s="15"/>
      <c r="O17" s="4" t="s">
        <v>96</v>
      </c>
    </row>
    <row r="18" ht="22.5" customHeight="1">
      <c r="A18" s="4" t="s">
        <v>97</v>
      </c>
      <c r="B18" s="12">
        <v>61.0</v>
      </c>
      <c r="C18" s="12" t="s">
        <v>98</v>
      </c>
      <c r="D18" s="6" t="s">
        <v>99</v>
      </c>
      <c r="E18" s="13" t="s">
        <v>100</v>
      </c>
      <c r="F18" s="19"/>
      <c r="G18" s="17"/>
      <c r="H18" s="8" t="s">
        <v>18</v>
      </c>
      <c r="I18" s="8" t="s">
        <v>34</v>
      </c>
      <c r="J18" s="8" t="s">
        <v>35</v>
      </c>
      <c r="K18" s="11"/>
      <c r="L18" s="10">
        <v>46153.0</v>
      </c>
      <c r="M18" s="11"/>
      <c r="N18" s="15"/>
      <c r="O18" s="4" t="s">
        <v>101</v>
      </c>
    </row>
    <row r="19" ht="22.5" customHeight="1">
      <c r="A19" s="4" t="s">
        <v>102</v>
      </c>
      <c r="B19" s="12">
        <v>61.0</v>
      </c>
      <c r="C19" s="18"/>
      <c r="D19" s="6" t="s">
        <v>103</v>
      </c>
      <c r="E19" s="13" t="s">
        <v>104</v>
      </c>
      <c r="F19" s="23" t="s">
        <v>105</v>
      </c>
      <c r="G19" s="17"/>
      <c r="H19" s="8" t="s">
        <v>18</v>
      </c>
      <c r="I19" s="8" t="s">
        <v>106</v>
      </c>
      <c r="J19" s="15"/>
      <c r="K19" s="11"/>
      <c r="L19" s="10">
        <v>46153.0</v>
      </c>
      <c r="M19" s="11"/>
      <c r="N19" s="15"/>
      <c r="O19" s="17"/>
    </row>
    <row r="20" ht="22.5" customHeight="1">
      <c r="A20" s="4" t="s">
        <v>107</v>
      </c>
      <c r="B20" s="12"/>
      <c r="C20" s="18"/>
      <c r="D20" s="6" t="s">
        <v>108</v>
      </c>
      <c r="E20" s="13"/>
      <c r="F20" s="19"/>
      <c r="G20" s="17"/>
      <c r="H20" s="8" t="s">
        <v>18</v>
      </c>
      <c r="I20" s="8" t="s">
        <v>19</v>
      </c>
      <c r="J20" s="8" t="s">
        <v>20</v>
      </c>
      <c r="K20" s="11"/>
      <c r="L20" s="10">
        <v>46153.0</v>
      </c>
      <c r="M20" s="11"/>
      <c r="N20" s="15"/>
      <c r="O20" s="4" t="s">
        <v>21</v>
      </c>
    </row>
    <row r="21" ht="22.5" customHeight="1">
      <c r="A21" s="4" t="s">
        <v>109</v>
      </c>
      <c r="B21" s="12"/>
      <c r="C21" s="18"/>
      <c r="D21" s="6" t="s">
        <v>110</v>
      </c>
      <c r="E21" s="13"/>
      <c r="F21" s="19"/>
      <c r="G21" s="17"/>
      <c r="H21" s="8" t="s">
        <v>18</v>
      </c>
      <c r="I21" s="8" t="s">
        <v>19</v>
      </c>
      <c r="J21" s="8" t="s">
        <v>20</v>
      </c>
      <c r="K21" s="11"/>
      <c r="L21" s="10">
        <v>46153.0</v>
      </c>
      <c r="M21" s="11"/>
      <c r="N21" s="15"/>
      <c r="O21" s="4" t="s">
        <v>21</v>
      </c>
    </row>
    <row r="22" ht="22.5" customHeight="1">
      <c r="A22" s="4" t="s">
        <v>111</v>
      </c>
      <c r="B22" s="12">
        <v>74.0</v>
      </c>
      <c r="C22" s="12" t="s">
        <v>112</v>
      </c>
      <c r="D22" s="6" t="s">
        <v>113</v>
      </c>
      <c r="E22" s="13" t="s">
        <v>114</v>
      </c>
      <c r="F22" s="19"/>
      <c r="G22" s="17"/>
      <c r="H22" s="8" t="s">
        <v>18</v>
      </c>
      <c r="I22" s="8" t="s">
        <v>106</v>
      </c>
      <c r="J22" s="15"/>
      <c r="K22" s="11"/>
      <c r="L22" s="10">
        <v>46153.0</v>
      </c>
      <c r="M22" s="11"/>
      <c r="N22" s="15"/>
      <c r="O22" s="17"/>
    </row>
    <row r="23" ht="22.5" customHeight="1">
      <c r="A23" s="4" t="s">
        <v>115</v>
      </c>
      <c r="B23" s="12">
        <v>70.0</v>
      </c>
      <c r="C23" s="18"/>
      <c r="D23" s="6" t="s">
        <v>116</v>
      </c>
      <c r="E23" s="13" t="s">
        <v>117</v>
      </c>
      <c r="F23" s="19"/>
      <c r="G23" s="17"/>
      <c r="H23" s="8" t="s">
        <v>18</v>
      </c>
      <c r="I23" s="8" t="s">
        <v>106</v>
      </c>
      <c r="J23" s="15"/>
      <c r="K23" s="11"/>
      <c r="L23" s="10">
        <v>46153.0</v>
      </c>
      <c r="M23" s="11"/>
      <c r="N23" s="15"/>
      <c r="O23" s="17"/>
    </row>
    <row r="24" ht="22.5" customHeight="1">
      <c r="A24" s="4" t="s">
        <v>118</v>
      </c>
      <c r="B24" s="12">
        <v>86.0</v>
      </c>
      <c r="C24" s="12" t="s">
        <v>44</v>
      </c>
      <c r="D24" s="6" t="s">
        <v>119</v>
      </c>
      <c r="E24" s="13" t="s">
        <v>120</v>
      </c>
      <c r="F24" s="19"/>
      <c r="G24" s="4" t="s">
        <v>121</v>
      </c>
      <c r="H24" s="8" t="s">
        <v>18</v>
      </c>
      <c r="I24" s="8" t="s">
        <v>34</v>
      </c>
      <c r="J24" s="8" t="s">
        <v>59</v>
      </c>
      <c r="K24" s="11"/>
      <c r="L24" s="10">
        <v>46153.0</v>
      </c>
      <c r="M24" s="11"/>
      <c r="N24" s="15"/>
      <c r="O24" s="4" t="s">
        <v>122</v>
      </c>
    </row>
    <row r="25" ht="22.5" customHeight="1">
      <c r="A25" s="4" t="s">
        <v>123</v>
      </c>
      <c r="B25" s="12"/>
      <c r="C25" s="18"/>
      <c r="D25" s="6" t="s">
        <v>124</v>
      </c>
      <c r="E25" s="13"/>
      <c r="F25" s="19"/>
      <c r="G25" s="17"/>
      <c r="H25" s="8" t="s">
        <v>18</v>
      </c>
      <c r="I25" s="8" t="s">
        <v>19</v>
      </c>
      <c r="J25" s="8" t="s">
        <v>20</v>
      </c>
      <c r="K25" s="11"/>
      <c r="L25" s="10">
        <v>46153.0</v>
      </c>
      <c r="M25" s="11"/>
      <c r="N25" s="15"/>
      <c r="O25" s="4" t="s">
        <v>21</v>
      </c>
    </row>
    <row r="26" ht="22.5" customHeight="1">
      <c r="A26" s="4" t="s">
        <v>125</v>
      </c>
      <c r="B26" s="12"/>
      <c r="C26" s="12" t="s">
        <v>126</v>
      </c>
      <c r="D26" s="6" t="s">
        <v>127</v>
      </c>
      <c r="E26" s="13" t="s">
        <v>128</v>
      </c>
      <c r="F26" s="19"/>
      <c r="G26" s="14"/>
      <c r="H26" s="8" t="s">
        <v>18</v>
      </c>
      <c r="I26" s="8" t="s">
        <v>34</v>
      </c>
      <c r="J26" s="8" t="s">
        <v>59</v>
      </c>
      <c r="K26" s="11"/>
      <c r="L26" s="10">
        <v>46153.0</v>
      </c>
      <c r="M26" s="11"/>
      <c r="N26" s="15"/>
      <c r="O26" s="4" t="s">
        <v>129</v>
      </c>
    </row>
    <row r="27" ht="22.5" customHeight="1">
      <c r="A27" s="4" t="s">
        <v>130</v>
      </c>
      <c r="B27" s="12"/>
      <c r="C27" s="18"/>
      <c r="D27" s="6" t="s">
        <v>131</v>
      </c>
      <c r="E27" s="13" t="s">
        <v>132</v>
      </c>
      <c r="F27" s="13" t="s">
        <v>133</v>
      </c>
      <c r="G27" s="17"/>
      <c r="H27" s="8" t="s">
        <v>18</v>
      </c>
      <c r="I27" s="8" t="s">
        <v>34</v>
      </c>
      <c r="J27" s="8" t="s">
        <v>35</v>
      </c>
      <c r="K27" s="11"/>
      <c r="L27" s="10">
        <v>46153.0</v>
      </c>
      <c r="M27" s="11"/>
      <c r="N27" s="15"/>
      <c r="O27" s="4" t="s">
        <v>134</v>
      </c>
    </row>
    <row r="28" ht="22.5" customHeight="1">
      <c r="A28" s="4" t="s">
        <v>135</v>
      </c>
      <c r="B28" s="12"/>
      <c r="C28" s="18"/>
      <c r="D28" s="6" t="s">
        <v>136</v>
      </c>
      <c r="E28" s="13" t="s">
        <v>137</v>
      </c>
      <c r="F28" s="13" t="s">
        <v>138</v>
      </c>
      <c r="G28" s="17"/>
      <c r="H28" s="8" t="s">
        <v>18</v>
      </c>
      <c r="I28" s="8" t="s">
        <v>34</v>
      </c>
      <c r="J28" s="8" t="s">
        <v>59</v>
      </c>
      <c r="K28" s="11"/>
      <c r="L28" s="10">
        <v>46153.0</v>
      </c>
      <c r="M28" s="11"/>
      <c r="N28" s="15"/>
      <c r="O28" s="4" t="s">
        <v>139</v>
      </c>
    </row>
    <row r="29" ht="22.5" customHeight="1">
      <c r="A29" s="4" t="s">
        <v>140</v>
      </c>
      <c r="B29" s="12">
        <v>65.0</v>
      </c>
      <c r="C29" s="18"/>
      <c r="D29" s="6" t="s">
        <v>141</v>
      </c>
      <c r="E29" s="13" t="s">
        <v>142</v>
      </c>
      <c r="F29" s="13" t="s">
        <v>81</v>
      </c>
      <c r="G29" s="17"/>
      <c r="H29" s="8" t="s">
        <v>18</v>
      </c>
      <c r="I29" s="8" t="s">
        <v>34</v>
      </c>
      <c r="J29" s="8" t="s">
        <v>35</v>
      </c>
      <c r="K29" s="11"/>
      <c r="L29" s="10">
        <v>46153.0</v>
      </c>
      <c r="M29" s="11"/>
      <c r="N29" s="15"/>
      <c r="O29" s="4" t="s">
        <v>143</v>
      </c>
    </row>
    <row r="30" ht="22.5" customHeight="1">
      <c r="A30" s="4" t="s">
        <v>144</v>
      </c>
      <c r="B30" s="12">
        <v>70.0</v>
      </c>
      <c r="C30" s="12" t="s">
        <v>145</v>
      </c>
      <c r="D30" s="6" t="s">
        <v>146</v>
      </c>
      <c r="E30" s="13" t="s">
        <v>147</v>
      </c>
      <c r="F30" s="13" t="s">
        <v>148</v>
      </c>
      <c r="G30" s="17"/>
      <c r="H30" s="8" t="s">
        <v>18</v>
      </c>
      <c r="I30" s="8" t="s">
        <v>34</v>
      </c>
      <c r="J30" s="8" t="s">
        <v>35</v>
      </c>
      <c r="K30" s="11"/>
      <c r="L30" s="10">
        <v>46153.0</v>
      </c>
      <c r="M30" s="11"/>
      <c r="N30" s="15"/>
      <c r="O30" s="4" t="s">
        <v>149</v>
      </c>
    </row>
    <row r="31" ht="22.5" customHeight="1">
      <c r="A31" s="4" t="s">
        <v>150</v>
      </c>
      <c r="B31" s="12">
        <v>65.0</v>
      </c>
      <c r="C31" s="12" t="s">
        <v>151</v>
      </c>
      <c r="D31" s="6" t="s">
        <v>152</v>
      </c>
      <c r="E31" s="13" t="s">
        <v>153</v>
      </c>
      <c r="F31" s="19"/>
      <c r="G31" s="17"/>
      <c r="H31" s="8" t="s">
        <v>18</v>
      </c>
      <c r="I31" s="8" t="s">
        <v>106</v>
      </c>
      <c r="J31" s="15"/>
      <c r="K31" s="11"/>
      <c r="L31" s="10">
        <v>46153.0</v>
      </c>
      <c r="M31" s="11"/>
      <c r="N31" s="15"/>
      <c r="O31" s="17"/>
    </row>
    <row r="32" ht="22.5" customHeight="1">
      <c r="A32" s="4" t="s">
        <v>154</v>
      </c>
      <c r="B32" s="12">
        <v>60.0</v>
      </c>
      <c r="C32" s="18"/>
      <c r="D32" s="6" t="s">
        <v>155</v>
      </c>
      <c r="E32" s="13" t="s">
        <v>156</v>
      </c>
      <c r="F32" s="19"/>
      <c r="G32" s="17"/>
      <c r="H32" s="8" t="s">
        <v>18</v>
      </c>
      <c r="I32" s="8" t="s">
        <v>34</v>
      </c>
      <c r="J32" s="8" t="s">
        <v>59</v>
      </c>
      <c r="K32" s="11"/>
      <c r="L32" s="10">
        <v>46153.0</v>
      </c>
      <c r="M32" s="11"/>
      <c r="N32" s="15"/>
      <c r="O32" s="4" t="s">
        <v>157</v>
      </c>
    </row>
    <row r="33" ht="22.5" customHeight="1">
      <c r="A33" s="4" t="s">
        <v>158</v>
      </c>
      <c r="B33" s="12"/>
      <c r="C33" s="18"/>
      <c r="D33" s="6" t="s">
        <v>159</v>
      </c>
      <c r="E33" s="13"/>
      <c r="F33" s="13"/>
      <c r="G33" s="17"/>
      <c r="H33" s="8" t="s">
        <v>18</v>
      </c>
      <c r="I33" s="8" t="s">
        <v>34</v>
      </c>
      <c r="J33" s="8" t="s">
        <v>59</v>
      </c>
      <c r="K33" s="11"/>
      <c r="L33" s="10">
        <v>46153.0</v>
      </c>
      <c r="M33" s="11"/>
      <c r="N33" s="15"/>
      <c r="O33" s="17"/>
    </row>
    <row r="34" ht="22.5" customHeight="1">
      <c r="A34" s="4" t="s">
        <v>160</v>
      </c>
      <c r="B34" s="12"/>
      <c r="C34" s="18"/>
      <c r="D34" s="6" t="s">
        <v>161</v>
      </c>
      <c r="E34" s="13"/>
      <c r="F34" s="19"/>
      <c r="G34" s="17"/>
      <c r="H34" s="8" t="s">
        <v>18</v>
      </c>
      <c r="I34" s="8" t="s">
        <v>19</v>
      </c>
      <c r="J34" s="8" t="s">
        <v>20</v>
      </c>
      <c r="K34" s="11"/>
      <c r="L34" s="10">
        <v>46153.0</v>
      </c>
      <c r="M34" s="11"/>
      <c r="N34" s="15"/>
      <c r="O34" s="4" t="s">
        <v>21</v>
      </c>
    </row>
    <row r="35" ht="22.5" customHeight="1">
      <c r="A35" s="4" t="s">
        <v>162</v>
      </c>
      <c r="B35" s="12"/>
      <c r="C35" s="18"/>
      <c r="D35" s="6" t="s">
        <v>163</v>
      </c>
      <c r="E35" s="13"/>
      <c r="F35" s="19"/>
      <c r="G35" s="17"/>
      <c r="H35" s="8" t="s">
        <v>18</v>
      </c>
      <c r="I35" s="8" t="s">
        <v>19</v>
      </c>
      <c r="J35" s="8" t="s">
        <v>20</v>
      </c>
      <c r="K35" s="11"/>
      <c r="L35" s="10">
        <v>46153.0</v>
      </c>
      <c r="M35" s="11"/>
      <c r="N35" s="15"/>
      <c r="O35" s="4" t="s">
        <v>21</v>
      </c>
    </row>
    <row r="36" ht="22.5" customHeight="1">
      <c r="A36" s="4" t="s">
        <v>164</v>
      </c>
      <c r="B36" s="12"/>
      <c r="C36" s="18"/>
      <c r="D36" s="6" t="s">
        <v>165</v>
      </c>
      <c r="E36" s="13"/>
      <c r="F36" s="19"/>
      <c r="G36" s="17"/>
      <c r="H36" s="8" t="s">
        <v>18</v>
      </c>
      <c r="I36" s="8" t="s">
        <v>19</v>
      </c>
      <c r="J36" s="8" t="s">
        <v>20</v>
      </c>
      <c r="K36" s="11"/>
      <c r="L36" s="10">
        <v>46153.0</v>
      </c>
      <c r="M36" s="11"/>
      <c r="N36" s="15"/>
      <c r="O36" s="4" t="s">
        <v>21</v>
      </c>
    </row>
    <row r="37" ht="22.5" customHeight="1">
      <c r="A37" s="4" t="s">
        <v>166</v>
      </c>
      <c r="B37" s="12">
        <v>55.0</v>
      </c>
      <c r="C37" s="12" t="s">
        <v>167</v>
      </c>
      <c r="D37" s="6" t="s">
        <v>168</v>
      </c>
      <c r="E37" s="13" t="s">
        <v>169</v>
      </c>
      <c r="F37" s="19"/>
      <c r="G37" s="16" t="s">
        <v>42</v>
      </c>
      <c r="H37" s="8" t="s">
        <v>18</v>
      </c>
      <c r="I37" s="8" t="s">
        <v>27</v>
      </c>
      <c r="J37" s="8" t="s">
        <v>28</v>
      </c>
      <c r="K37" s="11"/>
      <c r="L37" s="10">
        <v>46153.0</v>
      </c>
      <c r="M37" s="11"/>
      <c r="N37" s="15"/>
      <c r="O37" s="17"/>
    </row>
    <row r="38" ht="22.5" customHeight="1">
      <c r="A38" s="4" t="s">
        <v>170</v>
      </c>
      <c r="B38" s="12"/>
      <c r="C38" s="18"/>
      <c r="D38" s="6" t="s">
        <v>171</v>
      </c>
      <c r="E38" s="13"/>
      <c r="F38" s="13" t="s">
        <v>172</v>
      </c>
      <c r="G38" s="4" t="s">
        <v>173</v>
      </c>
      <c r="H38" s="8" t="s">
        <v>18</v>
      </c>
      <c r="I38" s="8" t="s">
        <v>19</v>
      </c>
      <c r="J38" s="8" t="s">
        <v>20</v>
      </c>
      <c r="K38" s="11"/>
      <c r="L38" s="10">
        <v>46153.0</v>
      </c>
      <c r="M38" s="11"/>
      <c r="N38" s="15"/>
      <c r="O38" s="4" t="s">
        <v>54</v>
      </c>
    </row>
    <row r="39" ht="22.5" customHeight="1">
      <c r="A39" s="4" t="s">
        <v>174</v>
      </c>
      <c r="B39" s="12">
        <v>58.0</v>
      </c>
      <c r="C39" s="12" t="s">
        <v>44</v>
      </c>
      <c r="D39" s="6" t="s">
        <v>175</v>
      </c>
      <c r="E39" s="13" t="s">
        <v>176</v>
      </c>
      <c r="F39" s="19"/>
      <c r="G39" s="4" t="s">
        <v>177</v>
      </c>
      <c r="H39" s="8" t="s">
        <v>18</v>
      </c>
      <c r="I39" s="8" t="s">
        <v>27</v>
      </c>
      <c r="J39" s="8" t="s">
        <v>28</v>
      </c>
      <c r="K39" s="11"/>
      <c r="L39" s="10">
        <v>46153.0</v>
      </c>
      <c r="M39" s="11"/>
      <c r="N39" s="15"/>
      <c r="O39" s="17"/>
    </row>
    <row r="40" ht="22.5" customHeight="1">
      <c r="A40" s="4" t="s">
        <v>178</v>
      </c>
      <c r="B40" s="12"/>
      <c r="C40" s="18"/>
      <c r="D40" s="6" t="s">
        <v>179</v>
      </c>
      <c r="E40" s="13"/>
      <c r="F40" s="19"/>
      <c r="G40" s="17"/>
      <c r="H40" s="8" t="s">
        <v>18</v>
      </c>
      <c r="I40" s="8" t="s">
        <v>19</v>
      </c>
      <c r="J40" s="8" t="s">
        <v>20</v>
      </c>
      <c r="K40" s="11"/>
      <c r="L40" s="10">
        <v>46153.0</v>
      </c>
      <c r="M40" s="11"/>
      <c r="N40" s="15"/>
      <c r="O40" s="4" t="s">
        <v>21</v>
      </c>
    </row>
    <row r="41" ht="22.5" customHeight="1">
      <c r="A41" s="24" t="s">
        <v>20</v>
      </c>
      <c r="B41" s="12"/>
      <c r="C41" s="18"/>
      <c r="D41" s="6" t="s">
        <v>180</v>
      </c>
      <c r="E41" s="13"/>
      <c r="F41" s="13" t="s">
        <v>172</v>
      </c>
      <c r="G41" s="17"/>
      <c r="H41" s="8" t="s">
        <v>18</v>
      </c>
      <c r="I41" s="8" t="s">
        <v>19</v>
      </c>
      <c r="J41" s="8" t="s">
        <v>20</v>
      </c>
      <c r="K41" s="11"/>
      <c r="L41" s="10">
        <v>46153.0</v>
      </c>
      <c r="M41" s="11"/>
      <c r="N41" s="15"/>
      <c r="O41" s="4" t="s">
        <v>54</v>
      </c>
    </row>
    <row r="42" ht="22.5" customHeight="1">
      <c r="A42" s="4" t="s">
        <v>181</v>
      </c>
      <c r="B42" s="12"/>
      <c r="C42" s="18"/>
      <c r="D42" s="6" t="s">
        <v>182</v>
      </c>
      <c r="E42" s="13"/>
      <c r="F42" s="13" t="s">
        <v>81</v>
      </c>
      <c r="G42" s="17"/>
      <c r="H42" s="8" t="s">
        <v>18</v>
      </c>
      <c r="I42" s="8" t="s">
        <v>19</v>
      </c>
      <c r="J42" s="8" t="s">
        <v>20</v>
      </c>
      <c r="K42" s="11"/>
      <c r="L42" s="10">
        <v>46153.0</v>
      </c>
      <c r="M42" s="11"/>
      <c r="N42" s="15"/>
      <c r="O42" s="4" t="s">
        <v>183</v>
      </c>
    </row>
    <row r="43" ht="22.5" customHeight="1">
      <c r="A43" s="4" t="s">
        <v>184</v>
      </c>
      <c r="B43" s="12"/>
      <c r="C43" s="18"/>
      <c r="D43" s="6" t="s">
        <v>185</v>
      </c>
      <c r="E43" s="13"/>
      <c r="F43" s="13" t="s">
        <v>186</v>
      </c>
      <c r="G43" s="17"/>
      <c r="H43" s="8" t="s">
        <v>18</v>
      </c>
      <c r="I43" s="8" t="s">
        <v>19</v>
      </c>
      <c r="J43" s="8" t="s">
        <v>20</v>
      </c>
      <c r="K43" s="11"/>
      <c r="L43" s="10">
        <v>46153.0</v>
      </c>
      <c r="M43" s="11"/>
      <c r="N43" s="15"/>
      <c r="O43" s="4" t="s">
        <v>187</v>
      </c>
    </row>
    <row r="44" ht="22.5" customHeight="1">
      <c r="A44" s="4" t="s">
        <v>188</v>
      </c>
      <c r="B44" s="12">
        <v>60.0</v>
      </c>
      <c r="C44" s="18"/>
      <c r="D44" s="6" t="s">
        <v>189</v>
      </c>
      <c r="E44" s="13" t="s">
        <v>190</v>
      </c>
      <c r="F44" s="19"/>
      <c r="G44" s="20" t="s">
        <v>42</v>
      </c>
      <c r="H44" s="8" t="s">
        <v>18</v>
      </c>
      <c r="I44" s="8" t="s">
        <v>27</v>
      </c>
      <c r="J44" s="8" t="s">
        <v>28</v>
      </c>
      <c r="K44" s="11"/>
      <c r="L44" s="10">
        <v>46153.0</v>
      </c>
      <c r="M44" s="11"/>
      <c r="N44" s="15"/>
      <c r="O44" s="4" t="s">
        <v>21</v>
      </c>
    </row>
    <row r="45" ht="22.5" customHeight="1">
      <c r="A45" s="4" t="s">
        <v>191</v>
      </c>
      <c r="B45" s="12"/>
      <c r="C45" s="18"/>
      <c r="D45" s="6" t="s">
        <v>192</v>
      </c>
      <c r="E45" s="13" t="s">
        <v>193</v>
      </c>
      <c r="F45" s="19"/>
      <c r="G45" s="4" t="s">
        <v>194</v>
      </c>
      <c r="H45" s="8" t="s">
        <v>18</v>
      </c>
      <c r="I45" s="8" t="s">
        <v>34</v>
      </c>
      <c r="J45" s="8" t="s">
        <v>35</v>
      </c>
      <c r="K45" s="11"/>
      <c r="L45" s="10">
        <v>46153.0</v>
      </c>
      <c r="M45" s="11"/>
      <c r="N45" s="15"/>
      <c r="O45" s="4" t="s">
        <v>195</v>
      </c>
    </row>
    <row r="46" ht="22.5" customHeight="1">
      <c r="A46" s="4" t="s">
        <v>196</v>
      </c>
      <c r="B46" s="12"/>
      <c r="C46" s="18"/>
      <c r="D46" s="6" t="s">
        <v>197</v>
      </c>
      <c r="E46" s="13"/>
      <c r="F46" s="19"/>
      <c r="G46" s="17"/>
      <c r="H46" s="8" t="s">
        <v>18</v>
      </c>
      <c r="I46" s="8" t="s">
        <v>19</v>
      </c>
      <c r="J46" s="8" t="s">
        <v>20</v>
      </c>
      <c r="K46" s="11"/>
      <c r="L46" s="10">
        <v>46153.0</v>
      </c>
      <c r="M46" s="11"/>
      <c r="N46" s="15"/>
      <c r="O46" s="4" t="s">
        <v>21</v>
      </c>
    </row>
    <row r="47" ht="22.5" customHeight="1">
      <c r="A47" s="4" t="s">
        <v>198</v>
      </c>
      <c r="B47" s="12">
        <v>53.0</v>
      </c>
      <c r="C47" s="18"/>
      <c r="D47" s="6" t="s">
        <v>199</v>
      </c>
      <c r="E47" s="13" t="s">
        <v>200</v>
      </c>
      <c r="F47" s="19"/>
      <c r="G47" s="4" t="s">
        <v>201</v>
      </c>
      <c r="H47" s="8" t="s">
        <v>18</v>
      </c>
      <c r="I47" s="8" t="s">
        <v>27</v>
      </c>
      <c r="J47" s="8" t="s">
        <v>28</v>
      </c>
      <c r="K47" s="11"/>
      <c r="L47" s="10">
        <v>46153.0</v>
      </c>
      <c r="M47" s="11"/>
      <c r="N47" s="15"/>
      <c r="O47" s="17"/>
    </row>
    <row r="48" ht="22.5" customHeight="1">
      <c r="A48" s="4" t="s">
        <v>202</v>
      </c>
      <c r="B48" s="12"/>
      <c r="C48" s="18"/>
      <c r="D48" s="6" t="s">
        <v>203</v>
      </c>
      <c r="E48" s="13"/>
      <c r="F48" s="13" t="s">
        <v>81</v>
      </c>
      <c r="G48" s="17"/>
      <c r="H48" s="8" t="s">
        <v>18</v>
      </c>
      <c r="I48" s="8" t="s">
        <v>19</v>
      </c>
      <c r="J48" s="8" t="s">
        <v>20</v>
      </c>
      <c r="K48" s="11"/>
      <c r="L48" s="10">
        <v>46153.0</v>
      </c>
      <c r="M48" s="11"/>
      <c r="N48" s="15"/>
      <c r="O48" s="4" t="s">
        <v>204</v>
      </c>
    </row>
    <row r="49" ht="22.5" customHeight="1">
      <c r="A49" s="4" t="s">
        <v>205</v>
      </c>
      <c r="B49" s="12"/>
      <c r="C49" s="18"/>
      <c r="D49" s="6" t="s">
        <v>206</v>
      </c>
      <c r="E49" s="13"/>
      <c r="F49" s="19"/>
      <c r="G49" s="17"/>
      <c r="H49" s="8" t="s">
        <v>18</v>
      </c>
      <c r="I49" s="8" t="s">
        <v>19</v>
      </c>
      <c r="J49" s="8" t="s">
        <v>20</v>
      </c>
      <c r="K49" s="11"/>
      <c r="L49" s="10">
        <v>46153.0</v>
      </c>
      <c r="M49" s="11"/>
      <c r="N49" s="15"/>
      <c r="O49" s="4" t="s">
        <v>21</v>
      </c>
    </row>
    <row r="50" ht="22.5" customHeight="1">
      <c r="A50" s="24" t="s">
        <v>20</v>
      </c>
      <c r="B50" s="12"/>
      <c r="C50" s="18"/>
      <c r="D50" s="6" t="s">
        <v>207</v>
      </c>
      <c r="E50" s="13"/>
      <c r="F50" s="19"/>
      <c r="G50" s="17"/>
      <c r="H50" s="8" t="s">
        <v>18</v>
      </c>
      <c r="I50" s="8" t="s">
        <v>19</v>
      </c>
      <c r="J50" s="8" t="s">
        <v>20</v>
      </c>
      <c r="K50" s="11"/>
      <c r="L50" s="10">
        <v>46153.0</v>
      </c>
      <c r="M50" s="11"/>
      <c r="N50" s="15"/>
      <c r="O50" s="4" t="s">
        <v>21</v>
      </c>
    </row>
    <row r="51" ht="22.5" customHeight="1">
      <c r="A51" s="4" t="s">
        <v>208</v>
      </c>
      <c r="B51" s="12"/>
      <c r="C51" s="12" t="s">
        <v>209</v>
      </c>
      <c r="D51" s="25" t="s">
        <v>210</v>
      </c>
      <c r="E51" s="26" t="s">
        <v>211</v>
      </c>
      <c r="F51" s="23" t="s">
        <v>212</v>
      </c>
      <c r="G51" s="17"/>
      <c r="H51" s="8" t="s">
        <v>18</v>
      </c>
      <c r="I51" s="8" t="s">
        <v>19</v>
      </c>
      <c r="J51" s="8" t="s">
        <v>20</v>
      </c>
      <c r="K51" s="11"/>
      <c r="L51" s="10">
        <v>46153.0</v>
      </c>
      <c r="M51" s="11"/>
      <c r="N51" s="15"/>
      <c r="O51" s="17"/>
    </row>
    <row r="52" ht="22.5" customHeight="1">
      <c r="A52" s="4" t="s">
        <v>213</v>
      </c>
      <c r="B52" s="12">
        <v>55.0</v>
      </c>
      <c r="C52" s="18"/>
      <c r="D52" s="6" t="s">
        <v>214</v>
      </c>
      <c r="E52" s="13" t="s">
        <v>215</v>
      </c>
      <c r="F52" s="19"/>
      <c r="G52" s="27" t="s">
        <v>216</v>
      </c>
      <c r="H52" s="8" t="s">
        <v>18</v>
      </c>
      <c r="I52" s="8" t="s">
        <v>27</v>
      </c>
      <c r="J52" s="8" t="s">
        <v>28</v>
      </c>
      <c r="K52" s="11"/>
      <c r="L52" s="10">
        <v>46153.0</v>
      </c>
      <c r="M52" s="11"/>
      <c r="N52" s="15"/>
      <c r="O52" s="17"/>
    </row>
    <row r="53" ht="22.5" customHeight="1">
      <c r="A53" s="4" t="s">
        <v>217</v>
      </c>
      <c r="B53" s="12"/>
      <c r="C53" s="12" t="s">
        <v>218</v>
      </c>
      <c r="D53" s="6" t="s">
        <v>219</v>
      </c>
      <c r="E53" s="13"/>
      <c r="F53" s="13" t="s">
        <v>220</v>
      </c>
      <c r="G53" s="17"/>
      <c r="H53" s="8" t="s">
        <v>18</v>
      </c>
      <c r="I53" s="8" t="s">
        <v>19</v>
      </c>
      <c r="J53" s="8" t="s">
        <v>20</v>
      </c>
      <c r="K53" s="11"/>
      <c r="L53" s="10">
        <v>46153.0</v>
      </c>
      <c r="M53" s="11"/>
      <c r="N53" s="15"/>
      <c r="O53" s="4" t="s">
        <v>221</v>
      </c>
    </row>
    <row r="54" ht="22.5" customHeight="1">
      <c r="A54" s="4" t="s">
        <v>222</v>
      </c>
      <c r="B54" s="12">
        <v>60.0</v>
      </c>
      <c r="C54" s="12" t="s">
        <v>223</v>
      </c>
      <c r="D54" s="6" t="s">
        <v>224</v>
      </c>
      <c r="E54" s="13" t="s">
        <v>225</v>
      </c>
      <c r="F54" s="19"/>
      <c r="G54" s="22"/>
      <c r="H54" s="8" t="s">
        <v>18</v>
      </c>
      <c r="I54" s="8" t="s">
        <v>34</v>
      </c>
      <c r="J54" s="8" t="s">
        <v>59</v>
      </c>
      <c r="K54" s="11"/>
      <c r="L54" s="10">
        <v>46153.0</v>
      </c>
      <c r="M54" s="11"/>
      <c r="N54" s="15"/>
      <c r="O54" s="4" t="s">
        <v>226</v>
      </c>
    </row>
    <row r="55" ht="22.5" customHeight="1">
      <c r="A55" s="4" t="s">
        <v>227</v>
      </c>
      <c r="B55" s="12">
        <v>62.0</v>
      </c>
      <c r="C55" s="12" t="s">
        <v>228</v>
      </c>
      <c r="D55" s="6" t="s">
        <v>229</v>
      </c>
      <c r="E55" s="13" t="s">
        <v>230</v>
      </c>
      <c r="F55" s="13" t="s">
        <v>172</v>
      </c>
      <c r="G55" s="4"/>
      <c r="H55" s="8" t="s">
        <v>18</v>
      </c>
      <c r="I55" s="8" t="s">
        <v>34</v>
      </c>
      <c r="J55" s="8" t="s">
        <v>35</v>
      </c>
      <c r="K55" s="11"/>
      <c r="L55" s="10">
        <v>46153.0</v>
      </c>
      <c r="M55" s="11"/>
      <c r="N55" s="15"/>
      <c r="O55" s="4" t="s">
        <v>231</v>
      </c>
    </row>
    <row r="56" ht="22.5" customHeight="1">
      <c r="A56" s="4" t="s">
        <v>232</v>
      </c>
      <c r="B56" s="12"/>
      <c r="C56" s="18"/>
      <c r="D56" s="6" t="s">
        <v>233</v>
      </c>
      <c r="E56" s="13"/>
      <c r="F56" s="19"/>
      <c r="G56" s="17"/>
      <c r="H56" s="8" t="s">
        <v>18</v>
      </c>
      <c r="I56" s="8" t="s">
        <v>106</v>
      </c>
      <c r="J56" s="8" t="s">
        <v>20</v>
      </c>
      <c r="K56" s="11"/>
      <c r="L56" s="10">
        <v>46153.0</v>
      </c>
      <c r="M56" s="11"/>
      <c r="N56" s="15"/>
      <c r="O56" s="4" t="s">
        <v>21</v>
      </c>
    </row>
    <row r="57" ht="22.5" customHeight="1">
      <c r="A57" s="4" t="s">
        <v>234</v>
      </c>
      <c r="B57" s="12"/>
      <c r="C57" s="12" t="s">
        <v>56</v>
      </c>
      <c r="D57" s="6" t="s">
        <v>235</v>
      </c>
      <c r="E57" s="13"/>
      <c r="F57" s="13" t="s">
        <v>172</v>
      </c>
      <c r="G57" s="17"/>
      <c r="H57" s="8" t="s">
        <v>18</v>
      </c>
      <c r="I57" s="8" t="s">
        <v>19</v>
      </c>
      <c r="J57" s="8" t="s">
        <v>20</v>
      </c>
      <c r="K57" s="11"/>
      <c r="L57" s="10">
        <v>46153.0</v>
      </c>
      <c r="M57" s="11"/>
      <c r="N57" s="15"/>
      <c r="O57" s="4" t="s">
        <v>221</v>
      </c>
    </row>
    <row r="58" ht="22.5" customHeight="1">
      <c r="A58" s="4" t="s">
        <v>236</v>
      </c>
      <c r="B58" s="12">
        <v>62.0</v>
      </c>
      <c r="C58" s="18"/>
      <c r="D58" s="6" t="s">
        <v>237</v>
      </c>
      <c r="E58" s="13" t="s">
        <v>238</v>
      </c>
      <c r="F58" s="13" t="s">
        <v>81</v>
      </c>
      <c r="G58" s="4" t="s">
        <v>239</v>
      </c>
      <c r="H58" s="8" t="s">
        <v>18</v>
      </c>
      <c r="I58" s="8" t="s">
        <v>34</v>
      </c>
      <c r="J58" s="8" t="s">
        <v>59</v>
      </c>
      <c r="K58" s="11"/>
      <c r="L58" s="10">
        <v>46153.0</v>
      </c>
      <c r="M58" s="11"/>
      <c r="N58" s="15"/>
      <c r="O58" s="17"/>
    </row>
    <row r="59" ht="22.5" customHeight="1">
      <c r="A59" s="4" t="s">
        <v>240</v>
      </c>
      <c r="B59" s="12"/>
      <c r="C59" s="18"/>
      <c r="D59" s="6" t="s">
        <v>241</v>
      </c>
      <c r="E59" s="13"/>
      <c r="F59" s="19"/>
      <c r="G59" s="17"/>
      <c r="H59" s="8" t="s">
        <v>18</v>
      </c>
      <c r="I59" s="8" t="s">
        <v>19</v>
      </c>
      <c r="J59" s="8" t="s">
        <v>20</v>
      </c>
      <c r="K59" s="11"/>
      <c r="L59" s="10">
        <v>46153.0</v>
      </c>
      <c r="M59" s="11"/>
      <c r="N59" s="15"/>
      <c r="O59" s="4" t="s">
        <v>21</v>
      </c>
    </row>
    <row r="60" ht="22.5" customHeight="1">
      <c r="A60" s="4" t="s">
        <v>242</v>
      </c>
      <c r="B60" s="12">
        <v>67.0</v>
      </c>
      <c r="C60" s="18"/>
      <c r="D60" s="6" t="s">
        <v>243</v>
      </c>
      <c r="E60" s="13" t="s">
        <v>244</v>
      </c>
      <c r="F60" s="13" t="s">
        <v>245</v>
      </c>
      <c r="G60" s="20" t="s">
        <v>246</v>
      </c>
      <c r="H60" s="8" t="s">
        <v>18</v>
      </c>
      <c r="I60" s="8" t="s">
        <v>27</v>
      </c>
      <c r="J60" s="8" t="s">
        <v>28</v>
      </c>
      <c r="K60" s="11"/>
      <c r="L60" s="10">
        <v>46153.0</v>
      </c>
      <c r="M60" s="11"/>
      <c r="N60" s="15"/>
      <c r="O60" s="4" t="s">
        <v>247</v>
      </c>
    </row>
    <row r="61" ht="22.5" customHeight="1">
      <c r="A61" s="4" t="s">
        <v>248</v>
      </c>
      <c r="B61" s="12">
        <v>43.0</v>
      </c>
      <c r="C61" s="18"/>
      <c r="D61" s="6" t="s">
        <v>249</v>
      </c>
      <c r="E61" s="13" t="s">
        <v>250</v>
      </c>
      <c r="F61" s="19"/>
      <c r="G61" s="17"/>
      <c r="H61" s="8" t="s">
        <v>18</v>
      </c>
      <c r="I61" s="8" t="s">
        <v>34</v>
      </c>
      <c r="J61" s="8" t="s">
        <v>35</v>
      </c>
      <c r="K61" s="11"/>
      <c r="L61" s="10">
        <v>46153.0</v>
      </c>
      <c r="M61" s="11"/>
      <c r="N61" s="15"/>
      <c r="O61" s="4" t="s">
        <v>251</v>
      </c>
    </row>
    <row r="62" ht="22.5" customHeight="1">
      <c r="A62" s="4" t="s">
        <v>252</v>
      </c>
      <c r="B62" s="12"/>
      <c r="C62" s="18"/>
      <c r="D62" s="6" t="s">
        <v>253</v>
      </c>
      <c r="E62" s="13"/>
      <c r="F62" s="13" t="s">
        <v>172</v>
      </c>
      <c r="G62" s="17"/>
      <c r="H62" s="8" t="s">
        <v>18</v>
      </c>
      <c r="I62" s="8" t="s">
        <v>19</v>
      </c>
      <c r="J62" s="8" t="s">
        <v>20</v>
      </c>
      <c r="K62" s="11"/>
      <c r="L62" s="10">
        <v>46153.0</v>
      </c>
      <c r="M62" s="11"/>
      <c r="N62" s="15"/>
      <c r="O62" s="4" t="s">
        <v>204</v>
      </c>
    </row>
    <row r="63" ht="22.5" customHeight="1">
      <c r="A63" s="4" t="s">
        <v>254</v>
      </c>
      <c r="B63" s="12"/>
      <c r="C63" s="18"/>
      <c r="D63" s="6" t="s">
        <v>255</v>
      </c>
      <c r="E63" s="13"/>
      <c r="F63" s="19"/>
      <c r="G63" s="17"/>
      <c r="H63" s="8" t="s">
        <v>18</v>
      </c>
      <c r="I63" s="8" t="s">
        <v>19</v>
      </c>
      <c r="J63" s="8" t="s">
        <v>20</v>
      </c>
      <c r="K63" s="11"/>
      <c r="L63" s="10">
        <v>46153.0</v>
      </c>
      <c r="M63" s="11"/>
      <c r="N63" s="15"/>
      <c r="O63" s="4" t="s">
        <v>21</v>
      </c>
    </row>
    <row r="64" ht="22.5" customHeight="1">
      <c r="A64" s="4" t="s">
        <v>256</v>
      </c>
      <c r="B64" s="12">
        <v>61.0</v>
      </c>
      <c r="C64" s="18"/>
      <c r="D64" s="6" t="s">
        <v>257</v>
      </c>
      <c r="E64" s="13" t="s">
        <v>258</v>
      </c>
      <c r="F64" s="23" t="s">
        <v>259</v>
      </c>
      <c r="G64" s="17"/>
      <c r="H64" s="8" t="s">
        <v>18</v>
      </c>
      <c r="I64" s="8" t="s">
        <v>27</v>
      </c>
      <c r="J64" s="8" t="s">
        <v>28</v>
      </c>
      <c r="K64" s="11"/>
      <c r="L64" s="10">
        <v>46153.0</v>
      </c>
      <c r="M64" s="11"/>
      <c r="N64" s="15"/>
      <c r="O64" s="17"/>
    </row>
    <row r="65" ht="22.5" customHeight="1">
      <c r="A65" s="4" t="s">
        <v>260</v>
      </c>
      <c r="B65" s="12"/>
      <c r="C65" s="18"/>
      <c r="D65" s="6" t="s">
        <v>261</v>
      </c>
      <c r="E65" s="13"/>
      <c r="F65" s="19"/>
      <c r="G65" s="17"/>
      <c r="H65" s="8" t="s">
        <v>18</v>
      </c>
      <c r="I65" s="8" t="s">
        <v>19</v>
      </c>
      <c r="J65" s="8" t="s">
        <v>20</v>
      </c>
      <c r="K65" s="11"/>
      <c r="L65" s="10">
        <v>46153.0</v>
      </c>
      <c r="M65" s="11"/>
      <c r="N65" s="15"/>
      <c r="O65" s="4" t="s">
        <v>21</v>
      </c>
    </row>
    <row r="66" ht="22.5" customHeight="1">
      <c r="A66" s="4" t="s">
        <v>262</v>
      </c>
      <c r="B66" s="12">
        <v>64.0</v>
      </c>
      <c r="C66" s="18"/>
      <c r="D66" s="6" t="s">
        <v>263</v>
      </c>
      <c r="E66" s="13" t="s">
        <v>264</v>
      </c>
      <c r="F66" s="13" t="s">
        <v>265</v>
      </c>
      <c r="G66" s="4"/>
      <c r="H66" s="8" t="s">
        <v>18</v>
      </c>
      <c r="I66" s="8" t="s">
        <v>34</v>
      </c>
      <c r="J66" s="8" t="s">
        <v>59</v>
      </c>
      <c r="K66" s="11"/>
      <c r="L66" s="10">
        <v>46153.0</v>
      </c>
      <c r="M66" s="11"/>
      <c r="N66" s="15"/>
      <c r="O66" s="4" t="s">
        <v>266</v>
      </c>
    </row>
    <row r="67" ht="22.5" customHeight="1">
      <c r="A67" s="4"/>
      <c r="B67" s="12"/>
      <c r="C67" s="18"/>
      <c r="D67" s="6" t="s">
        <v>267</v>
      </c>
      <c r="E67" s="13"/>
      <c r="F67" s="19"/>
      <c r="G67" s="4"/>
      <c r="H67" s="8" t="s">
        <v>18</v>
      </c>
      <c r="I67" s="8" t="s">
        <v>19</v>
      </c>
      <c r="J67" s="8" t="s">
        <v>20</v>
      </c>
      <c r="K67" s="11"/>
      <c r="L67" s="10">
        <v>46153.0</v>
      </c>
      <c r="M67" s="11"/>
      <c r="N67" s="15"/>
      <c r="O67" s="4" t="s">
        <v>21</v>
      </c>
    </row>
    <row r="68" ht="22.5" customHeight="1">
      <c r="A68" s="4" t="s">
        <v>268</v>
      </c>
      <c r="B68" s="12">
        <v>65.0</v>
      </c>
      <c r="C68" s="18"/>
      <c r="D68" s="6" t="s">
        <v>269</v>
      </c>
      <c r="E68" s="13" t="s">
        <v>270</v>
      </c>
      <c r="F68" s="13" t="s">
        <v>81</v>
      </c>
      <c r="G68" s="4"/>
      <c r="H68" s="8" t="s">
        <v>18</v>
      </c>
      <c r="I68" s="8" t="s">
        <v>34</v>
      </c>
      <c r="J68" s="8" t="s">
        <v>35</v>
      </c>
      <c r="K68" s="11"/>
      <c r="L68" s="10">
        <v>46153.0</v>
      </c>
      <c r="M68" s="11"/>
      <c r="N68" s="15"/>
      <c r="O68" s="4" t="s">
        <v>271</v>
      </c>
    </row>
    <row r="69" ht="22.5" customHeight="1">
      <c r="A69" s="4" t="s">
        <v>272</v>
      </c>
      <c r="B69" s="12"/>
      <c r="C69" s="18"/>
      <c r="D69" s="6" t="s">
        <v>273</v>
      </c>
      <c r="E69" s="13"/>
      <c r="F69" s="19"/>
      <c r="G69" s="17"/>
      <c r="H69" s="8" t="s">
        <v>18</v>
      </c>
      <c r="I69" s="8" t="s">
        <v>19</v>
      </c>
      <c r="J69" s="8" t="s">
        <v>20</v>
      </c>
      <c r="K69" s="11"/>
      <c r="L69" s="10">
        <v>46153.0</v>
      </c>
      <c r="M69" s="11"/>
      <c r="N69" s="15"/>
      <c r="O69" s="4" t="s">
        <v>21</v>
      </c>
    </row>
    <row r="70" ht="22.5" customHeight="1">
      <c r="A70" s="4" t="s">
        <v>274</v>
      </c>
      <c r="B70" s="12">
        <v>54.0</v>
      </c>
      <c r="C70" s="18"/>
      <c r="D70" s="6" t="s">
        <v>275</v>
      </c>
      <c r="E70" s="13" t="s">
        <v>276</v>
      </c>
      <c r="F70" s="19"/>
      <c r="G70" s="17"/>
      <c r="H70" s="8" t="s">
        <v>18</v>
      </c>
      <c r="I70" s="8" t="s">
        <v>34</v>
      </c>
      <c r="J70" s="8" t="s">
        <v>59</v>
      </c>
      <c r="K70" s="11"/>
      <c r="L70" s="10">
        <v>46153.0</v>
      </c>
      <c r="M70" s="11"/>
      <c r="N70" s="15"/>
      <c r="O70" s="4" t="s">
        <v>21</v>
      </c>
    </row>
    <row r="71" ht="22.5" customHeight="1">
      <c r="A71" s="4" t="s">
        <v>277</v>
      </c>
      <c r="B71" s="12">
        <v>65.0</v>
      </c>
      <c r="C71" s="18"/>
      <c r="D71" s="6" t="s">
        <v>278</v>
      </c>
      <c r="E71" s="13" t="s">
        <v>279</v>
      </c>
      <c r="F71" s="19"/>
      <c r="G71" s="17"/>
      <c r="H71" s="8" t="s">
        <v>18</v>
      </c>
      <c r="I71" s="8" t="s">
        <v>34</v>
      </c>
      <c r="J71" s="8" t="s">
        <v>59</v>
      </c>
      <c r="K71" s="11"/>
      <c r="L71" s="10">
        <v>46153.0</v>
      </c>
      <c r="M71" s="11"/>
      <c r="N71" s="15"/>
      <c r="O71" s="4" t="s">
        <v>280</v>
      </c>
    </row>
    <row r="72" ht="22.5" customHeight="1">
      <c r="A72" s="4" t="s">
        <v>281</v>
      </c>
      <c r="B72" s="12">
        <v>57.0</v>
      </c>
      <c r="C72" s="18"/>
      <c r="D72" s="6" t="s">
        <v>282</v>
      </c>
      <c r="E72" s="13" t="s">
        <v>283</v>
      </c>
      <c r="F72" s="19"/>
      <c r="G72" s="17"/>
      <c r="H72" s="8" t="s">
        <v>18</v>
      </c>
      <c r="I72" s="8" t="s">
        <v>34</v>
      </c>
      <c r="J72" s="8" t="s">
        <v>35</v>
      </c>
      <c r="K72" s="11"/>
      <c r="L72" s="10">
        <v>46153.0</v>
      </c>
      <c r="M72" s="11"/>
      <c r="N72" s="15"/>
      <c r="O72" s="4" t="s">
        <v>280</v>
      </c>
    </row>
    <row r="73" ht="22.5" customHeight="1">
      <c r="A73" s="4" t="s">
        <v>284</v>
      </c>
      <c r="B73" s="12">
        <v>59.0</v>
      </c>
      <c r="C73" s="18"/>
      <c r="D73" s="6" t="s">
        <v>285</v>
      </c>
      <c r="E73" s="13" t="s">
        <v>286</v>
      </c>
      <c r="F73" s="19"/>
      <c r="G73" s="20" t="s">
        <v>287</v>
      </c>
      <c r="H73" s="8" t="s">
        <v>18</v>
      </c>
      <c r="I73" s="8" t="s">
        <v>27</v>
      </c>
      <c r="J73" s="8" t="s">
        <v>28</v>
      </c>
      <c r="K73" s="11"/>
      <c r="L73" s="10">
        <v>46153.0</v>
      </c>
      <c r="M73" s="11"/>
      <c r="N73" s="15"/>
      <c r="O73" s="17"/>
    </row>
    <row r="74" ht="22.5" customHeight="1">
      <c r="A74" s="4" t="s">
        <v>288</v>
      </c>
      <c r="B74" s="12"/>
      <c r="C74" s="18"/>
      <c r="D74" s="6" t="s">
        <v>289</v>
      </c>
      <c r="E74" s="13"/>
      <c r="F74" s="19"/>
      <c r="G74" s="17"/>
      <c r="H74" s="8" t="s">
        <v>18</v>
      </c>
      <c r="I74" s="8" t="s">
        <v>19</v>
      </c>
      <c r="J74" s="8" t="s">
        <v>20</v>
      </c>
      <c r="K74" s="11"/>
      <c r="L74" s="10">
        <v>46153.0</v>
      </c>
      <c r="M74" s="11"/>
      <c r="N74" s="15"/>
      <c r="O74" s="4" t="s">
        <v>21</v>
      </c>
    </row>
    <row r="75" ht="22.5" customHeight="1">
      <c r="A75" s="4" t="s">
        <v>290</v>
      </c>
      <c r="B75" s="12"/>
      <c r="C75" s="18"/>
      <c r="D75" s="6" t="s">
        <v>291</v>
      </c>
      <c r="E75" s="13" t="s">
        <v>292</v>
      </c>
      <c r="F75" s="13" t="s">
        <v>81</v>
      </c>
      <c r="G75" s="4" t="s">
        <v>293</v>
      </c>
      <c r="H75" s="8" t="s">
        <v>18</v>
      </c>
      <c r="I75" s="8" t="s">
        <v>27</v>
      </c>
      <c r="J75" s="8" t="s">
        <v>28</v>
      </c>
      <c r="K75" s="11"/>
      <c r="L75" s="10">
        <v>46153.0</v>
      </c>
      <c r="M75" s="11"/>
      <c r="N75" s="15"/>
      <c r="O75" s="17"/>
    </row>
    <row r="76" ht="22.5" customHeight="1">
      <c r="A76" s="4" t="s">
        <v>294</v>
      </c>
      <c r="B76" s="12"/>
      <c r="C76" s="18"/>
      <c r="D76" s="6" t="s">
        <v>295</v>
      </c>
      <c r="E76" s="13"/>
      <c r="F76" s="19"/>
      <c r="G76" s="17"/>
      <c r="H76" s="8" t="s">
        <v>18</v>
      </c>
      <c r="I76" s="8" t="s">
        <v>19</v>
      </c>
      <c r="J76" s="8" t="s">
        <v>20</v>
      </c>
      <c r="K76" s="11"/>
      <c r="L76" s="10">
        <v>46153.0</v>
      </c>
      <c r="M76" s="11"/>
      <c r="N76" s="15"/>
      <c r="O76" s="4" t="s">
        <v>21</v>
      </c>
    </row>
    <row r="77" ht="22.5" customHeight="1">
      <c r="A77" s="4" t="s">
        <v>296</v>
      </c>
      <c r="B77" s="12">
        <v>53.0</v>
      </c>
      <c r="C77" s="18"/>
      <c r="D77" s="6" t="s">
        <v>297</v>
      </c>
      <c r="E77" s="13" t="s">
        <v>298</v>
      </c>
      <c r="F77" s="19"/>
      <c r="G77" s="17"/>
      <c r="H77" s="8" t="s">
        <v>18</v>
      </c>
      <c r="I77" s="8" t="s">
        <v>34</v>
      </c>
      <c r="J77" s="8" t="s">
        <v>59</v>
      </c>
      <c r="K77" s="11"/>
      <c r="L77" s="10">
        <v>46153.0</v>
      </c>
      <c r="M77" s="11"/>
      <c r="N77" s="15"/>
      <c r="O77" s="4" t="s">
        <v>280</v>
      </c>
    </row>
    <row r="78" ht="22.5" customHeight="1">
      <c r="A78" s="4" t="s">
        <v>299</v>
      </c>
      <c r="B78" s="12"/>
      <c r="C78" s="18"/>
      <c r="D78" s="6" t="s">
        <v>300</v>
      </c>
      <c r="E78" s="13"/>
      <c r="F78" s="19"/>
      <c r="G78" s="17"/>
      <c r="H78" s="8" t="s">
        <v>18</v>
      </c>
      <c r="I78" s="8" t="s">
        <v>19</v>
      </c>
      <c r="J78" s="8" t="s">
        <v>20</v>
      </c>
      <c r="K78" s="11"/>
      <c r="L78" s="10">
        <v>46153.0</v>
      </c>
      <c r="M78" s="11"/>
      <c r="N78" s="15"/>
      <c r="O78" s="4" t="s">
        <v>21</v>
      </c>
    </row>
    <row r="79" ht="22.5" customHeight="1">
      <c r="A79" s="4" t="s">
        <v>301</v>
      </c>
      <c r="B79" s="12"/>
      <c r="C79" s="18"/>
      <c r="D79" s="6" t="s">
        <v>302</v>
      </c>
      <c r="E79" s="13"/>
      <c r="F79" s="13" t="s">
        <v>303</v>
      </c>
      <c r="G79" s="17"/>
      <c r="H79" s="8" t="s">
        <v>18</v>
      </c>
      <c r="I79" s="8" t="s">
        <v>19</v>
      </c>
      <c r="J79" s="8" t="s">
        <v>20</v>
      </c>
      <c r="K79" s="11"/>
      <c r="L79" s="10">
        <v>46153.0</v>
      </c>
      <c r="M79" s="11"/>
      <c r="N79" s="15"/>
      <c r="O79" s="4" t="s">
        <v>304</v>
      </c>
    </row>
    <row r="80" ht="22.5" customHeight="1">
      <c r="A80" s="4" t="s">
        <v>305</v>
      </c>
      <c r="B80" s="12">
        <v>68.0</v>
      </c>
      <c r="C80" s="18"/>
      <c r="D80" s="6" t="s">
        <v>306</v>
      </c>
      <c r="E80" s="13" t="s">
        <v>307</v>
      </c>
      <c r="F80" s="19"/>
      <c r="G80" s="17"/>
      <c r="H80" s="8" t="s">
        <v>18</v>
      </c>
      <c r="I80" s="8" t="s">
        <v>34</v>
      </c>
      <c r="J80" s="8" t="s">
        <v>35</v>
      </c>
      <c r="K80" s="11"/>
      <c r="L80" s="10">
        <v>46153.0</v>
      </c>
      <c r="M80" s="11"/>
      <c r="N80" s="15"/>
      <c r="O80" s="4" t="s">
        <v>280</v>
      </c>
    </row>
    <row r="81" ht="22.5" customHeight="1">
      <c r="A81" s="4"/>
      <c r="B81" s="12"/>
      <c r="C81" s="18"/>
      <c r="D81" s="6" t="s">
        <v>308</v>
      </c>
      <c r="E81" s="13"/>
      <c r="F81" s="13" t="s">
        <v>81</v>
      </c>
      <c r="G81" s="17"/>
      <c r="H81" s="8" t="s">
        <v>18</v>
      </c>
      <c r="I81" s="8" t="s">
        <v>19</v>
      </c>
      <c r="J81" s="8" t="s">
        <v>20</v>
      </c>
      <c r="K81" s="11"/>
      <c r="L81" s="10">
        <v>46153.0</v>
      </c>
      <c r="M81" s="11"/>
      <c r="N81" s="15"/>
      <c r="O81" s="4" t="s">
        <v>21</v>
      </c>
    </row>
    <row r="82" ht="22.5" customHeight="1">
      <c r="A82" s="4" t="s">
        <v>309</v>
      </c>
      <c r="B82" s="12">
        <v>55.0</v>
      </c>
      <c r="C82" s="12" t="s">
        <v>310</v>
      </c>
      <c r="D82" s="6" t="s">
        <v>311</v>
      </c>
      <c r="E82" s="13" t="s">
        <v>312</v>
      </c>
      <c r="F82" s="13" t="s">
        <v>313</v>
      </c>
      <c r="G82" s="4" t="s">
        <v>314</v>
      </c>
      <c r="H82" s="8" t="s">
        <v>18</v>
      </c>
      <c r="I82" s="8" t="s">
        <v>106</v>
      </c>
      <c r="J82" s="15"/>
      <c r="K82" s="11"/>
      <c r="L82" s="10">
        <v>46153.0</v>
      </c>
      <c r="M82" s="11"/>
      <c r="N82" s="15"/>
      <c r="O82" s="17"/>
    </row>
    <row r="83" ht="22.5" customHeight="1">
      <c r="A83" s="4" t="s">
        <v>315</v>
      </c>
      <c r="B83" s="12">
        <v>61.0</v>
      </c>
      <c r="C83" s="18"/>
      <c r="D83" s="6" t="s">
        <v>316</v>
      </c>
      <c r="E83" s="13" t="s">
        <v>317</v>
      </c>
      <c r="F83" s="13"/>
      <c r="G83" s="4" t="s">
        <v>318</v>
      </c>
      <c r="H83" s="8" t="s">
        <v>18</v>
      </c>
      <c r="I83" s="8" t="s">
        <v>34</v>
      </c>
      <c r="J83" s="8" t="s">
        <v>59</v>
      </c>
      <c r="K83" s="11"/>
      <c r="L83" s="10">
        <v>46153.0</v>
      </c>
      <c r="M83" s="11"/>
      <c r="N83" s="15"/>
      <c r="O83" s="4" t="s">
        <v>319</v>
      </c>
    </row>
    <row r="84" ht="22.5" customHeight="1">
      <c r="A84" s="4" t="s">
        <v>320</v>
      </c>
      <c r="B84" s="12"/>
      <c r="C84" s="18"/>
      <c r="D84" s="6" t="s">
        <v>321</v>
      </c>
      <c r="E84" s="13" t="s">
        <v>322</v>
      </c>
      <c r="F84" s="19"/>
      <c r="G84" s="20" t="s">
        <v>216</v>
      </c>
      <c r="H84" s="8" t="s">
        <v>18</v>
      </c>
      <c r="I84" s="8" t="s">
        <v>27</v>
      </c>
      <c r="J84" s="8" t="s">
        <v>28</v>
      </c>
      <c r="K84" s="11"/>
      <c r="L84" s="10">
        <v>46153.0</v>
      </c>
      <c r="M84" s="11"/>
      <c r="N84" s="15"/>
      <c r="O84" s="17"/>
    </row>
    <row r="85" ht="22.5" customHeight="1">
      <c r="A85" s="4" t="s">
        <v>323</v>
      </c>
      <c r="B85" s="12"/>
      <c r="C85" s="18"/>
      <c r="D85" s="6" t="s">
        <v>324</v>
      </c>
      <c r="E85" s="13"/>
      <c r="F85" s="13" t="s">
        <v>325</v>
      </c>
      <c r="G85" s="17"/>
      <c r="H85" s="8" t="s">
        <v>18</v>
      </c>
      <c r="I85" s="8" t="s">
        <v>19</v>
      </c>
      <c r="J85" s="8" t="s">
        <v>20</v>
      </c>
      <c r="K85" s="11"/>
      <c r="L85" s="10">
        <v>46153.0</v>
      </c>
      <c r="M85" s="11"/>
      <c r="N85" s="15"/>
      <c r="O85" s="4" t="s">
        <v>326</v>
      </c>
    </row>
    <row r="86" ht="22.5" customHeight="1">
      <c r="A86" s="4" t="s">
        <v>327</v>
      </c>
      <c r="B86" s="12">
        <v>61.0</v>
      </c>
      <c r="C86" s="18"/>
      <c r="D86" s="6" t="s">
        <v>328</v>
      </c>
      <c r="E86" s="13" t="s">
        <v>329</v>
      </c>
      <c r="F86" s="19"/>
      <c r="G86" s="17"/>
      <c r="H86" s="8" t="s">
        <v>18</v>
      </c>
      <c r="I86" s="8" t="s">
        <v>19</v>
      </c>
      <c r="J86" s="8" t="s">
        <v>20</v>
      </c>
      <c r="K86" s="11"/>
      <c r="L86" s="10">
        <v>46153.0</v>
      </c>
      <c r="M86" s="11"/>
      <c r="N86" s="15"/>
      <c r="O86" s="4" t="s">
        <v>304</v>
      </c>
    </row>
    <row r="87" ht="22.5" customHeight="1">
      <c r="A87" s="4" t="s">
        <v>330</v>
      </c>
      <c r="B87" s="12"/>
      <c r="C87" s="28"/>
      <c r="D87" s="6" t="s">
        <v>331</v>
      </c>
      <c r="E87" s="13" t="s">
        <v>332</v>
      </c>
      <c r="F87" s="19"/>
      <c r="G87" s="17"/>
      <c r="H87" s="8" t="s">
        <v>18</v>
      </c>
      <c r="I87" s="8" t="s">
        <v>19</v>
      </c>
      <c r="J87" s="8" t="s">
        <v>20</v>
      </c>
      <c r="K87" s="11"/>
      <c r="L87" s="10">
        <v>46154.0</v>
      </c>
      <c r="M87" s="11"/>
      <c r="N87" s="15"/>
      <c r="O87" s="4" t="s">
        <v>333</v>
      </c>
    </row>
    <row r="88" ht="22.5" customHeight="1">
      <c r="A88" s="4" t="s">
        <v>334</v>
      </c>
      <c r="B88" s="12"/>
      <c r="C88" s="28"/>
      <c r="D88" s="6" t="s">
        <v>335</v>
      </c>
      <c r="E88" s="13"/>
      <c r="F88" s="13" t="s">
        <v>172</v>
      </c>
      <c r="G88" s="17"/>
      <c r="H88" s="8" t="s">
        <v>18</v>
      </c>
      <c r="I88" s="8" t="s">
        <v>19</v>
      </c>
      <c r="J88" s="8" t="s">
        <v>20</v>
      </c>
      <c r="K88" s="11"/>
      <c r="L88" s="10">
        <v>46154.0</v>
      </c>
      <c r="M88" s="11"/>
      <c r="N88" s="15"/>
      <c r="O88" s="4" t="s">
        <v>21</v>
      </c>
    </row>
    <row r="89" ht="22.5" customHeight="1">
      <c r="A89" s="4" t="s">
        <v>336</v>
      </c>
      <c r="B89" s="12"/>
      <c r="C89" s="28"/>
      <c r="D89" s="6" t="s">
        <v>337</v>
      </c>
      <c r="E89" s="13"/>
      <c r="F89" s="19"/>
      <c r="G89" s="17"/>
      <c r="H89" s="8" t="s">
        <v>18</v>
      </c>
      <c r="I89" s="8" t="s">
        <v>19</v>
      </c>
      <c r="J89" s="8" t="s">
        <v>20</v>
      </c>
      <c r="K89" s="11"/>
      <c r="L89" s="10">
        <v>46154.0</v>
      </c>
      <c r="M89" s="11"/>
      <c r="N89" s="15"/>
      <c r="O89" s="4" t="s">
        <v>21</v>
      </c>
    </row>
    <row r="90" ht="22.5" customHeight="1">
      <c r="A90" s="4" t="s">
        <v>338</v>
      </c>
      <c r="B90" s="12">
        <v>58.0</v>
      </c>
      <c r="C90" s="28"/>
      <c r="D90" s="6" t="s">
        <v>339</v>
      </c>
      <c r="E90" s="13" t="s">
        <v>340</v>
      </c>
      <c r="F90" s="13" t="s">
        <v>341</v>
      </c>
      <c r="G90" s="17"/>
      <c r="H90" s="8" t="s">
        <v>18</v>
      </c>
      <c r="I90" s="8" t="s">
        <v>34</v>
      </c>
      <c r="J90" s="8" t="s">
        <v>35</v>
      </c>
      <c r="K90" s="11"/>
      <c r="L90" s="10">
        <v>46154.0</v>
      </c>
      <c r="M90" s="11"/>
      <c r="N90" s="15"/>
      <c r="O90" s="4" t="s">
        <v>342</v>
      </c>
    </row>
    <row r="91" ht="22.5" customHeight="1">
      <c r="A91" s="4" t="s">
        <v>343</v>
      </c>
      <c r="B91" s="12"/>
      <c r="C91" s="29" t="s">
        <v>344</v>
      </c>
      <c r="D91" s="6" t="s">
        <v>345</v>
      </c>
      <c r="E91" s="13"/>
      <c r="F91" s="13" t="s">
        <v>172</v>
      </c>
      <c r="G91" s="17"/>
      <c r="H91" s="8" t="s">
        <v>18</v>
      </c>
      <c r="I91" s="8" t="s">
        <v>19</v>
      </c>
      <c r="J91" s="8" t="s">
        <v>20</v>
      </c>
      <c r="K91" s="11"/>
      <c r="L91" s="10">
        <v>46154.0</v>
      </c>
      <c r="M91" s="11"/>
      <c r="N91" s="15"/>
      <c r="O91" s="4" t="s">
        <v>346</v>
      </c>
    </row>
    <row r="92" ht="22.5" customHeight="1">
      <c r="A92" s="4" t="s">
        <v>347</v>
      </c>
      <c r="B92" s="12"/>
      <c r="C92" s="28"/>
      <c r="D92" s="6" t="s">
        <v>348</v>
      </c>
      <c r="E92" s="13"/>
      <c r="F92" s="19"/>
      <c r="G92" s="17"/>
      <c r="H92" s="8" t="s">
        <v>18</v>
      </c>
      <c r="I92" s="8" t="s">
        <v>19</v>
      </c>
      <c r="J92" s="8" t="s">
        <v>20</v>
      </c>
      <c r="K92" s="11"/>
      <c r="L92" s="10">
        <v>46154.0</v>
      </c>
      <c r="M92" s="11"/>
      <c r="N92" s="15"/>
      <c r="O92" s="4" t="s">
        <v>21</v>
      </c>
    </row>
    <row r="93" ht="22.5" customHeight="1">
      <c r="A93" s="4" t="s">
        <v>349</v>
      </c>
      <c r="B93" s="12">
        <v>61.0</v>
      </c>
      <c r="C93" s="28"/>
      <c r="D93" s="6" t="s">
        <v>350</v>
      </c>
      <c r="E93" s="13" t="s">
        <v>351</v>
      </c>
      <c r="F93" s="19"/>
      <c r="G93" s="4" t="s">
        <v>352</v>
      </c>
      <c r="H93" s="8" t="s">
        <v>18</v>
      </c>
      <c r="I93" s="8" t="s">
        <v>27</v>
      </c>
      <c r="J93" s="8" t="s">
        <v>28</v>
      </c>
      <c r="K93" s="11"/>
      <c r="L93" s="10">
        <v>46154.0</v>
      </c>
      <c r="M93" s="11"/>
      <c r="N93" s="15"/>
      <c r="O93" s="17"/>
    </row>
    <row r="94" ht="22.5" customHeight="1">
      <c r="A94" s="24" t="s">
        <v>20</v>
      </c>
      <c r="B94" s="12"/>
      <c r="C94" s="28"/>
      <c r="D94" s="6" t="s">
        <v>353</v>
      </c>
      <c r="E94" s="13"/>
      <c r="F94" s="13" t="s">
        <v>172</v>
      </c>
      <c r="G94" s="17"/>
      <c r="H94" s="8" t="s">
        <v>18</v>
      </c>
      <c r="I94" s="8" t="s">
        <v>19</v>
      </c>
      <c r="J94" s="8" t="s">
        <v>20</v>
      </c>
      <c r="K94" s="11"/>
      <c r="L94" s="10">
        <v>46154.0</v>
      </c>
      <c r="M94" s="11"/>
      <c r="N94" s="15"/>
      <c r="O94" s="4" t="s">
        <v>21</v>
      </c>
    </row>
    <row r="95" ht="22.5" customHeight="1">
      <c r="A95" s="4" t="s">
        <v>354</v>
      </c>
      <c r="B95" s="12"/>
      <c r="C95" s="28"/>
      <c r="D95" s="6" t="s">
        <v>355</v>
      </c>
      <c r="E95" s="13"/>
      <c r="F95" s="19"/>
      <c r="G95" s="4"/>
      <c r="H95" s="8" t="s">
        <v>18</v>
      </c>
      <c r="I95" s="8" t="s">
        <v>19</v>
      </c>
      <c r="J95" s="8" t="s">
        <v>20</v>
      </c>
      <c r="K95" s="11"/>
      <c r="L95" s="10">
        <v>46154.0</v>
      </c>
      <c r="M95" s="11"/>
      <c r="N95" s="15"/>
      <c r="O95" s="4" t="s">
        <v>21</v>
      </c>
    </row>
    <row r="96" ht="22.5" customHeight="1">
      <c r="A96" s="4" t="s">
        <v>356</v>
      </c>
      <c r="B96" s="12">
        <v>68.0</v>
      </c>
      <c r="C96" s="29" t="s">
        <v>357</v>
      </c>
      <c r="D96" s="6" t="s">
        <v>358</v>
      </c>
      <c r="E96" s="13" t="s">
        <v>359</v>
      </c>
      <c r="F96" s="13" t="s">
        <v>360</v>
      </c>
      <c r="G96" s="4" t="s">
        <v>361</v>
      </c>
      <c r="H96" s="8" t="s">
        <v>18</v>
      </c>
      <c r="I96" s="8" t="s">
        <v>34</v>
      </c>
      <c r="J96" s="8" t="s">
        <v>35</v>
      </c>
      <c r="K96" s="11"/>
      <c r="L96" s="10">
        <v>46154.0</v>
      </c>
      <c r="M96" s="11"/>
      <c r="N96" s="15"/>
      <c r="O96" s="17"/>
    </row>
    <row r="97" ht="22.5" customHeight="1">
      <c r="A97" s="4" t="s">
        <v>362</v>
      </c>
      <c r="B97" s="12"/>
      <c r="C97" s="28"/>
      <c r="D97" s="6" t="s">
        <v>363</v>
      </c>
      <c r="E97" s="13"/>
      <c r="F97" s="13" t="s">
        <v>172</v>
      </c>
      <c r="G97" s="17"/>
      <c r="H97" s="8" t="s">
        <v>18</v>
      </c>
      <c r="I97" s="8" t="s">
        <v>19</v>
      </c>
      <c r="J97" s="8" t="s">
        <v>20</v>
      </c>
      <c r="K97" s="11"/>
      <c r="L97" s="10">
        <v>46154.0</v>
      </c>
      <c r="M97" s="11"/>
      <c r="N97" s="15"/>
      <c r="O97" s="4" t="s">
        <v>304</v>
      </c>
    </row>
    <row r="98" ht="22.5" customHeight="1">
      <c r="A98" s="4" t="s">
        <v>364</v>
      </c>
      <c r="B98" s="12">
        <v>61.0</v>
      </c>
      <c r="C98" s="28"/>
      <c r="D98" s="6" t="s">
        <v>365</v>
      </c>
      <c r="E98" s="13" t="s">
        <v>366</v>
      </c>
      <c r="F98" s="13" t="s">
        <v>367</v>
      </c>
      <c r="G98" s="4"/>
      <c r="H98" s="8" t="s">
        <v>18</v>
      </c>
      <c r="I98" s="8" t="s">
        <v>34</v>
      </c>
      <c r="J98" s="8" t="s">
        <v>59</v>
      </c>
      <c r="K98" s="11"/>
      <c r="L98" s="10">
        <v>46154.0</v>
      </c>
      <c r="M98" s="11"/>
      <c r="N98" s="15"/>
      <c r="O98" s="4" t="s">
        <v>368</v>
      </c>
    </row>
    <row r="99" ht="22.5" customHeight="1">
      <c r="A99" s="4" t="s">
        <v>369</v>
      </c>
      <c r="B99" s="12">
        <v>54.0</v>
      </c>
      <c r="C99" s="28"/>
      <c r="D99" s="6" t="s">
        <v>370</v>
      </c>
      <c r="E99" s="13" t="s">
        <v>371</v>
      </c>
      <c r="F99" s="19"/>
      <c r="G99" s="4" t="s">
        <v>314</v>
      </c>
      <c r="H99" s="8" t="s">
        <v>18</v>
      </c>
      <c r="I99" s="8" t="s">
        <v>106</v>
      </c>
      <c r="J99" s="15"/>
      <c r="K99" s="11"/>
      <c r="L99" s="10">
        <v>46154.0</v>
      </c>
      <c r="M99" s="11"/>
      <c r="N99" s="15"/>
      <c r="O99" s="17"/>
    </row>
    <row r="100" ht="22.5" customHeight="1">
      <c r="A100" s="4" t="s">
        <v>372</v>
      </c>
      <c r="B100" s="12"/>
      <c r="C100" s="28"/>
      <c r="D100" s="6" t="s">
        <v>373</v>
      </c>
      <c r="E100" s="13" t="s">
        <v>374</v>
      </c>
      <c r="F100" s="13" t="s">
        <v>375</v>
      </c>
      <c r="G100" s="17"/>
      <c r="H100" s="8" t="s">
        <v>18</v>
      </c>
      <c r="I100" s="8" t="s">
        <v>19</v>
      </c>
      <c r="J100" s="8" t="s">
        <v>20</v>
      </c>
      <c r="K100" s="11"/>
      <c r="L100" s="10">
        <v>46154.0</v>
      </c>
      <c r="M100" s="11"/>
      <c r="N100" s="15"/>
      <c r="O100" s="4" t="s">
        <v>376</v>
      </c>
    </row>
    <row r="101" ht="22.5" customHeight="1">
      <c r="A101" s="4" t="s">
        <v>377</v>
      </c>
      <c r="B101" s="12"/>
      <c r="C101" s="28"/>
      <c r="D101" s="6" t="s">
        <v>378</v>
      </c>
      <c r="E101" s="13"/>
      <c r="F101" s="13" t="s">
        <v>186</v>
      </c>
      <c r="G101" s="17"/>
      <c r="H101" s="8" t="s">
        <v>18</v>
      </c>
      <c r="I101" s="8" t="s">
        <v>19</v>
      </c>
      <c r="J101" s="8" t="s">
        <v>20</v>
      </c>
      <c r="K101" s="11"/>
      <c r="L101" s="10">
        <v>46154.0</v>
      </c>
      <c r="M101" s="11"/>
      <c r="N101" s="15"/>
      <c r="O101" s="4" t="s">
        <v>304</v>
      </c>
    </row>
    <row r="102" ht="22.5" customHeight="1">
      <c r="A102" s="4"/>
      <c r="B102" s="12"/>
      <c r="C102" s="28"/>
      <c r="D102" s="6" t="s">
        <v>379</v>
      </c>
      <c r="E102" s="13"/>
      <c r="F102" s="19"/>
      <c r="G102" s="17"/>
      <c r="H102" s="8" t="s">
        <v>18</v>
      </c>
      <c r="I102" s="8" t="s">
        <v>19</v>
      </c>
      <c r="J102" s="8" t="s">
        <v>20</v>
      </c>
      <c r="K102" s="11"/>
      <c r="L102" s="10">
        <v>46154.0</v>
      </c>
      <c r="M102" s="11"/>
      <c r="N102" s="15"/>
      <c r="O102" s="4" t="s">
        <v>21</v>
      </c>
    </row>
    <row r="103" ht="22.5" customHeight="1">
      <c r="A103" s="4" t="s">
        <v>380</v>
      </c>
      <c r="B103" s="12">
        <v>62.0</v>
      </c>
      <c r="C103" s="28"/>
      <c r="D103" s="6" t="s">
        <v>381</v>
      </c>
      <c r="E103" s="13"/>
      <c r="F103" s="19"/>
      <c r="G103" s="4" t="s">
        <v>382</v>
      </c>
      <c r="H103" s="8" t="s">
        <v>18</v>
      </c>
      <c r="I103" s="8" t="s">
        <v>34</v>
      </c>
      <c r="J103" s="8" t="s">
        <v>35</v>
      </c>
      <c r="K103" s="11"/>
      <c r="L103" s="10">
        <v>46154.0</v>
      </c>
      <c r="M103" s="11"/>
      <c r="N103" s="15"/>
      <c r="O103" s="4" t="s">
        <v>383</v>
      </c>
    </row>
    <row r="104" ht="22.5" customHeight="1">
      <c r="A104" s="4" t="s">
        <v>384</v>
      </c>
      <c r="B104" s="12">
        <v>65.0</v>
      </c>
      <c r="C104" s="29" t="s">
        <v>385</v>
      </c>
      <c r="D104" s="6" t="s">
        <v>386</v>
      </c>
      <c r="E104" s="13" t="s">
        <v>387</v>
      </c>
      <c r="F104" s="19"/>
      <c r="G104" s="17"/>
      <c r="H104" s="8" t="s">
        <v>18</v>
      </c>
      <c r="I104" s="8" t="s">
        <v>34</v>
      </c>
      <c r="J104" s="8" t="s">
        <v>59</v>
      </c>
      <c r="K104" s="11"/>
      <c r="L104" s="10">
        <v>46154.0</v>
      </c>
      <c r="M104" s="11"/>
      <c r="N104" s="15"/>
      <c r="O104" s="4" t="s">
        <v>388</v>
      </c>
    </row>
    <row r="105" ht="22.5" customHeight="1">
      <c r="A105" s="4" t="s">
        <v>389</v>
      </c>
      <c r="B105" s="12">
        <v>58.0</v>
      </c>
      <c r="C105" s="28"/>
      <c r="D105" s="6" t="s">
        <v>390</v>
      </c>
      <c r="E105" s="13" t="s">
        <v>391</v>
      </c>
      <c r="F105" s="19"/>
      <c r="G105" s="17"/>
      <c r="H105" s="8" t="s">
        <v>18</v>
      </c>
      <c r="I105" s="8" t="s">
        <v>34</v>
      </c>
      <c r="J105" s="8" t="s">
        <v>35</v>
      </c>
      <c r="K105" s="11"/>
      <c r="L105" s="10">
        <v>46154.0</v>
      </c>
      <c r="M105" s="11"/>
      <c r="N105" s="15"/>
      <c r="O105" s="4" t="s">
        <v>122</v>
      </c>
    </row>
    <row r="106" ht="22.5" customHeight="1">
      <c r="A106" s="4" t="s">
        <v>392</v>
      </c>
      <c r="B106" s="12">
        <v>66.0</v>
      </c>
      <c r="C106" s="28"/>
      <c r="D106" s="6" t="s">
        <v>393</v>
      </c>
      <c r="E106" s="13" t="s">
        <v>394</v>
      </c>
      <c r="F106" s="13" t="s">
        <v>395</v>
      </c>
      <c r="G106" s="4" t="s">
        <v>314</v>
      </c>
      <c r="H106" s="8" t="s">
        <v>18</v>
      </c>
      <c r="I106" s="8" t="s">
        <v>27</v>
      </c>
      <c r="J106" s="8" t="s">
        <v>28</v>
      </c>
      <c r="K106" s="11"/>
      <c r="L106" s="10">
        <v>46154.0</v>
      </c>
      <c r="M106" s="11"/>
      <c r="N106" s="15"/>
      <c r="O106" s="17"/>
    </row>
    <row r="107" ht="22.5" customHeight="1">
      <c r="A107" s="4" t="s">
        <v>396</v>
      </c>
      <c r="B107" s="12"/>
      <c r="C107" s="29" t="s">
        <v>397</v>
      </c>
      <c r="D107" s="6" t="s">
        <v>398</v>
      </c>
      <c r="E107" s="13"/>
      <c r="F107" s="13" t="s">
        <v>399</v>
      </c>
      <c r="G107" s="17"/>
      <c r="H107" s="8" t="s">
        <v>18</v>
      </c>
      <c r="I107" s="8" t="s">
        <v>19</v>
      </c>
      <c r="J107" s="8" t="s">
        <v>20</v>
      </c>
      <c r="K107" s="11"/>
      <c r="L107" s="10">
        <v>46154.0</v>
      </c>
      <c r="M107" s="11"/>
      <c r="N107" s="15"/>
      <c r="O107" s="4" t="s">
        <v>400</v>
      </c>
    </row>
    <row r="108" ht="22.5" customHeight="1">
      <c r="A108" s="4" t="s">
        <v>401</v>
      </c>
      <c r="B108" s="12"/>
      <c r="C108" s="28"/>
      <c r="D108" s="6" t="s">
        <v>402</v>
      </c>
      <c r="E108" s="13"/>
      <c r="F108" s="19"/>
      <c r="G108" s="17"/>
      <c r="H108" s="8" t="s">
        <v>18</v>
      </c>
      <c r="I108" s="8" t="s">
        <v>19</v>
      </c>
      <c r="J108" s="8" t="s">
        <v>20</v>
      </c>
      <c r="K108" s="11"/>
      <c r="L108" s="10">
        <v>46154.0</v>
      </c>
      <c r="M108" s="11"/>
      <c r="N108" s="15"/>
      <c r="O108" s="4" t="s">
        <v>21</v>
      </c>
    </row>
    <row r="109" ht="22.5" customHeight="1">
      <c r="A109" s="4" t="s">
        <v>403</v>
      </c>
      <c r="B109" s="12">
        <v>54.0</v>
      </c>
      <c r="C109" s="28"/>
      <c r="D109" s="6" t="s">
        <v>404</v>
      </c>
      <c r="E109" s="13" t="s">
        <v>405</v>
      </c>
      <c r="F109" s="19"/>
      <c r="G109" s="17"/>
      <c r="H109" s="8" t="s">
        <v>18</v>
      </c>
      <c r="I109" s="8" t="s">
        <v>19</v>
      </c>
      <c r="J109" s="8" t="s">
        <v>20</v>
      </c>
      <c r="K109" s="11"/>
      <c r="L109" s="10">
        <v>46154.0</v>
      </c>
      <c r="M109" s="11"/>
      <c r="N109" s="15"/>
      <c r="O109" s="4" t="s">
        <v>21</v>
      </c>
    </row>
    <row r="110" ht="22.5" customHeight="1">
      <c r="A110" s="24" t="s">
        <v>20</v>
      </c>
      <c r="B110" s="12"/>
      <c r="C110" s="28"/>
      <c r="D110" s="6" t="s">
        <v>406</v>
      </c>
      <c r="E110" s="13"/>
      <c r="F110" s="19"/>
      <c r="G110" s="17"/>
      <c r="H110" s="8" t="s">
        <v>18</v>
      </c>
      <c r="I110" s="8" t="s">
        <v>19</v>
      </c>
      <c r="J110" s="8" t="s">
        <v>20</v>
      </c>
      <c r="K110" s="11"/>
      <c r="L110" s="10">
        <v>46154.0</v>
      </c>
      <c r="M110" s="11"/>
      <c r="N110" s="15"/>
      <c r="O110" s="4" t="s">
        <v>21</v>
      </c>
    </row>
    <row r="111" ht="22.5" customHeight="1">
      <c r="A111" s="4" t="s">
        <v>407</v>
      </c>
      <c r="B111" s="12"/>
      <c r="C111" s="28"/>
      <c r="D111" s="6" t="s">
        <v>408</v>
      </c>
      <c r="E111" s="13"/>
      <c r="F111" s="19"/>
      <c r="G111" s="17"/>
      <c r="H111" s="8" t="s">
        <v>18</v>
      </c>
      <c r="I111" s="8" t="s">
        <v>19</v>
      </c>
      <c r="J111" s="8" t="s">
        <v>20</v>
      </c>
      <c r="K111" s="11"/>
      <c r="L111" s="10">
        <v>46154.0</v>
      </c>
      <c r="M111" s="11"/>
      <c r="N111" s="15"/>
      <c r="O111" s="4" t="s">
        <v>21</v>
      </c>
    </row>
    <row r="112" ht="22.5" customHeight="1">
      <c r="A112" s="4" t="s">
        <v>409</v>
      </c>
      <c r="B112" s="12">
        <v>33.0</v>
      </c>
      <c r="C112" s="29" t="s">
        <v>410</v>
      </c>
      <c r="D112" s="6" t="s">
        <v>411</v>
      </c>
      <c r="E112" s="13" t="s">
        <v>412</v>
      </c>
      <c r="F112" s="19"/>
      <c r="G112" s="17"/>
      <c r="H112" s="8" t="s">
        <v>18</v>
      </c>
      <c r="I112" s="8" t="s">
        <v>19</v>
      </c>
      <c r="J112" s="8" t="s">
        <v>20</v>
      </c>
      <c r="K112" s="11"/>
      <c r="L112" s="10">
        <v>46154.0</v>
      </c>
      <c r="M112" s="11"/>
      <c r="N112" s="15"/>
      <c r="O112" s="4" t="s">
        <v>413</v>
      </c>
    </row>
    <row r="113" ht="22.5" customHeight="1">
      <c r="A113" s="4" t="s">
        <v>414</v>
      </c>
      <c r="B113" s="12"/>
      <c r="C113" s="28"/>
      <c r="D113" s="6" t="s">
        <v>415</v>
      </c>
      <c r="E113" s="13"/>
      <c r="F113" s="19"/>
      <c r="G113" s="17"/>
      <c r="H113" s="8" t="s">
        <v>18</v>
      </c>
      <c r="I113" s="8" t="s">
        <v>19</v>
      </c>
      <c r="J113" s="8" t="s">
        <v>20</v>
      </c>
      <c r="K113" s="11"/>
      <c r="L113" s="10">
        <v>46154.0</v>
      </c>
      <c r="M113" s="11"/>
      <c r="N113" s="15"/>
      <c r="O113" s="4" t="s">
        <v>21</v>
      </c>
    </row>
    <row r="114" ht="22.5" customHeight="1">
      <c r="A114" s="4" t="s">
        <v>416</v>
      </c>
      <c r="B114" s="12">
        <v>66.0</v>
      </c>
      <c r="C114" s="29" t="s">
        <v>417</v>
      </c>
      <c r="D114" s="6" t="s">
        <v>418</v>
      </c>
      <c r="E114" s="13" t="s">
        <v>419</v>
      </c>
      <c r="F114" s="19"/>
      <c r="G114" s="4" t="s">
        <v>420</v>
      </c>
      <c r="H114" s="8" t="s">
        <v>18</v>
      </c>
      <c r="I114" s="8" t="s">
        <v>34</v>
      </c>
      <c r="J114" s="8" t="s">
        <v>35</v>
      </c>
      <c r="K114" s="11"/>
      <c r="L114" s="10">
        <v>46154.0</v>
      </c>
      <c r="M114" s="11"/>
      <c r="N114" s="15"/>
      <c r="O114" s="4" t="s">
        <v>421</v>
      </c>
    </row>
    <row r="115" ht="22.5" customHeight="1">
      <c r="A115" s="4" t="s">
        <v>422</v>
      </c>
      <c r="B115" s="12"/>
      <c r="C115" s="29" t="s">
        <v>397</v>
      </c>
      <c r="D115" s="6" t="s">
        <v>423</v>
      </c>
      <c r="E115" s="13"/>
      <c r="F115" s="19"/>
      <c r="G115" s="17"/>
      <c r="H115" s="8" t="s">
        <v>18</v>
      </c>
      <c r="I115" s="8" t="s">
        <v>19</v>
      </c>
      <c r="J115" s="8" t="s">
        <v>20</v>
      </c>
      <c r="K115" s="11"/>
      <c r="L115" s="10">
        <v>46154.0</v>
      </c>
      <c r="M115" s="11"/>
      <c r="N115" s="15"/>
      <c r="O115" s="4" t="s">
        <v>424</v>
      </c>
    </row>
    <row r="116" ht="22.5" customHeight="1">
      <c r="A116" s="4" t="s">
        <v>425</v>
      </c>
      <c r="B116" s="12"/>
      <c r="C116" s="28"/>
      <c r="D116" s="6" t="s">
        <v>426</v>
      </c>
      <c r="E116" s="13"/>
      <c r="F116" s="19"/>
      <c r="G116" s="17"/>
      <c r="H116" s="8" t="s">
        <v>18</v>
      </c>
      <c r="I116" s="8" t="s">
        <v>19</v>
      </c>
      <c r="J116" s="8" t="s">
        <v>20</v>
      </c>
      <c r="K116" s="11"/>
      <c r="L116" s="10">
        <v>46154.0</v>
      </c>
      <c r="M116" s="11"/>
      <c r="N116" s="15"/>
      <c r="O116" s="4" t="s">
        <v>21</v>
      </c>
    </row>
    <row r="117" ht="22.5" customHeight="1">
      <c r="A117" s="4" t="s">
        <v>427</v>
      </c>
      <c r="B117" s="12"/>
      <c r="C117" s="28"/>
      <c r="D117" s="6" t="s">
        <v>428</v>
      </c>
      <c r="E117" s="13"/>
      <c r="F117" s="19"/>
      <c r="G117" s="17"/>
      <c r="H117" s="8" t="s">
        <v>18</v>
      </c>
      <c r="I117" s="8" t="s">
        <v>19</v>
      </c>
      <c r="J117" s="8" t="s">
        <v>20</v>
      </c>
      <c r="K117" s="11"/>
      <c r="L117" s="10">
        <v>46154.0</v>
      </c>
      <c r="M117" s="11"/>
      <c r="N117" s="15"/>
      <c r="O117" s="4" t="s">
        <v>21</v>
      </c>
    </row>
    <row r="118" ht="22.5" customHeight="1">
      <c r="A118" s="4" t="s">
        <v>429</v>
      </c>
      <c r="B118" s="12">
        <v>58.0</v>
      </c>
      <c r="C118" s="29" t="s">
        <v>73</v>
      </c>
      <c r="D118" s="6" t="s">
        <v>430</v>
      </c>
      <c r="E118" s="13" t="s">
        <v>431</v>
      </c>
      <c r="F118" s="13" t="s">
        <v>172</v>
      </c>
      <c r="G118" s="4" t="s">
        <v>314</v>
      </c>
      <c r="H118" s="8" t="s">
        <v>18</v>
      </c>
      <c r="I118" s="8" t="s">
        <v>106</v>
      </c>
      <c r="J118" s="8" t="s">
        <v>20</v>
      </c>
      <c r="K118" s="11"/>
      <c r="L118" s="10">
        <v>46154.0</v>
      </c>
      <c r="M118" s="11"/>
      <c r="N118" s="15"/>
      <c r="O118" s="17"/>
    </row>
    <row r="119" ht="22.5" customHeight="1">
      <c r="A119" s="4" t="s">
        <v>432</v>
      </c>
      <c r="B119" s="12">
        <v>53.0</v>
      </c>
      <c r="C119" s="28"/>
      <c r="D119" s="6" t="s">
        <v>433</v>
      </c>
      <c r="E119" s="13" t="s">
        <v>434</v>
      </c>
      <c r="F119" s="13" t="s">
        <v>186</v>
      </c>
      <c r="G119" s="20" t="s">
        <v>216</v>
      </c>
      <c r="H119" s="8" t="s">
        <v>18</v>
      </c>
      <c r="I119" s="8" t="s">
        <v>27</v>
      </c>
      <c r="J119" s="8" t="s">
        <v>28</v>
      </c>
      <c r="K119" s="11"/>
      <c r="L119" s="10">
        <v>46154.0</v>
      </c>
      <c r="M119" s="11"/>
      <c r="N119" s="15"/>
      <c r="O119" s="17"/>
    </row>
    <row r="120" ht="22.5" customHeight="1">
      <c r="A120" s="4" t="s">
        <v>435</v>
      </c>
      <c r="B120" s="12">
        <v>57.0</v>
      </c>
      <c r="C120" s="28"/>
      <c r="D120" s="6" t="s">
        <v>436</v>
      </c>
      <c r="E120" s="13" t="s">
        <v>437</v>
      </c>
      <c r="F120" s="19"/>
      <c r="G120" s="17"/>
      <c r="H120" s="8" t="s">
        <v>18</v>
      </c>
      <c r="I120" s="8" t="s">
        <v>34</v>
      </c>
      <c r="J120" s="8" t="s">
        <v>59</v>
      </c>
      <c r="K120" s="11"/>
      <c r="L120" s="10">
        <v>46154.0</v>
      </c>
      <c r="M120" s="11"/>
      <c r="N120" s="15"/>
      <c r="O120" s="4" t="s">
        <v>438</v>
      </c>
    </row>
    <row r="121" ht="22.5" customHeight="1">
      <c r="A121" s="4" t="s">
        <v>439</v>
      </c>
      <c r="B121" s="12">
        <v>49.0</v>
      </c>
      <c r="C121" s="29" t="s">
        <v>440</v>
      </c>
      <c r="D121" s="6" t="s">
        <v>441</v>
      </c>
      <c r="E121" s="13" t="s">
        <v>442</v>
      </c>
      <c r="F121" s="13" t="s">
        <v>443</v>
      </c>
      <c r="G121" s="17"/>
      <c r="H121" s="8" t="s">
        <v>18</v>
      </c>
      <c r="I121" s="8" t="s">
        <v>34</v>
      </c>
      <c r="J121" s="8" t="s">
        <v>35</v>
      </c>
      <c r="K121" s="11"/>
      <c r="L121" s="10">
        <v>46154.0</v>
      </c>
      <c r="M121" s="11"/>
      <c r="N121" s="15"/>
      <c r="O121" s="4" t="s">
        <v>444</v>
      </c>
    </row>
    <row r="122" ht="22.5" customHeight="1">
      <c r="A122" s="4" t="s">
        <v>445</v>
      </c>
      <c r="B122" s="12">
        <v>63.0</v>
      </c>
      <c r="C122" s="28"/>
      <c r="D122" s="6" t="s">
        <v>446</v>
      </c>
      <c r="E122" s="13" t="s">
        <v>447</v>
      </c>
      <c r="F122" s="13" t="s">
        <v>448</v>
      </c>
      <c r="G122" s="17"/>
      <c r="H122" s="8" t="s">
        <v>18</v>
      </c>
      <c r="I122" s="8" t="s">
        <v>34</v>
      </c>
      <c r="J122" s="8" t="s">
        <v>59</v>
      </c>
      <c r="K122" s="11"/>
      <c r="L122" s="10">
        <v>46154.0</v>
      </c>
      <c r="M122" s="11"/>
      <c r="N122" s="15"/>
      <c r="O122" s="4" t="s">
        <v>449</v>
      </c>
    </row>
    <row r="123" ht="22.5" customHeight="1">
      <c r="A123" s="4" t="s">
        <v>450</v>
      </c>
      <c r="B123" s="12">
        <v>68.0</v>
      </c>
      <c r="C123" s="29" t="s">
        <v>451</v>
      </c>
      <c r="D123" s="6" t="s">
        <v>452</v>
      </c>
      <c r="E123" s="13" t="s">
        <v>453</v>
      </c>
      <c r="F123" s="19"/>
      <c r="G123" s="17"/>
      <c r="H123" s="8" t="s">
        <v>18</v>
      </c>
      <c r="I123" s="8" t="s">
        <v>34</v>
      </c>
      <c r="J123" s="8" t="s">
        <v>35</v>
      </c>
      <c r="K123" s="11"/>
      <c r="L123" s="10">
        <v>46154.0</v>
      </c>
      <c r="M123" s="11"/>
      <c r="N123" s="15"/>
      <c r="O123" s="4" t="s">
        <v>454</v>
      </c>
    </row>
    <row r="124" ht="22.5" customHeight="1">
      <c r="A124" s="4" t="s">
        <v>455</v>
      </c>
      <c r="B124" s="12"/>
      <c r="C124" s="28"/>
      <c r="D124" s="6" t="s">
        <v>456</v>
      </c>
      <c r="E124" s="13"/>
      <c r="F124" s="19"/>
      <c r="G124" s="17"/>
      <c r="H124" s="8" t="s">
        <v>18</v>
      </c>
      <c r="I124" s="8" t="s">
        <v>19</v>
      </c>
      <c r="J124" s="8" t="s">
        <v>20</v>
      </c>
      <c r="K124" s="11"/>
      <c r="L124" s="10">
        <v>46154.0</v>
      </c>
      <c r="M124" s="11"/>
      <c r="N124" s="15"/>
      <c r="O124" s="4" t="s">
        <v>21</v>
      </c>
    </row>
    <row r="125" ht="22.5" customHeight="1">
      <c r="A125" s="24" t="s">
        <v>20</v>
      </c>
      <c r="B125" s="12"/>
      <c r="C125" s="28"/>
      <c r="D125" s="6" t="s">
        <v>457</v>
      </c>
      <c r="E125" s="13"/>
      <c r="F125" s="19"/>
      <c r="G125" s="17"/>
      <c r="H125" s="8" t="s">
        <v>18</v>
      </c>
      <c r="I125" s="8" t="s">
        <v>19</v>
      </c>
      <c r="J125" s="8" t="s">
        <v>20</v>
      </c>
      <c r="K125" s="11"/>
      <c r="L125" s="10">
        <v>46154.0</v>
      </c>
      <c r="M125" s="11"/>
      <c r="N125" s="15"/>
      <c r="O125" s="4" t="s">
        <v>21</v>
      </c>
    </row>
    <row r="126" ht="22.5" customHeight="1">
      <c r="A126" s="24" t="s">
        <v>20</v>
      </c>
      <c r="B126" s="12"/>
      <c r="C126" s="28"/>
      <c r="D126" s="6" t="s">
        <v>458</v>
      </c>
      <c r="E126" s="13"/>
      <c r="F126" s="19"/>
      <c r="G126" s="17"/>
      <c r="H126" s="8" t="s">
        <v>18</v>
      </c>
      <c r="I126" s="8" t="s">
        <v>19</v>
      </c>
      <c r="J126" s="8" t="s">
        <v>20</v>
      </c>
      <c r="K126" s="11"/>
      <c r="L126" s="10">
        <v>46154.0</v>
      </c>
      <c r="M126" s="11"/>
      <c r="N126" s="15"/>
      <c r="O126" s="4" t="s">
        <v>21</v>
      </c>
    </row>
    <row r="127" ht="22.5" customHeight="1">
      <c r="A127" s="4" t="s">
        <v>459</v>
      </c>
      <c r="B127" s="12"/>
      <c r="C127" s="28"/>
      <c r="D127" s="6" t="s">
        <v>460</v>
      </c>
      <c r="E127" s="13"/>
      <c r="F127" s="19"/>
      <c r="G127" s="17"/>
      <c r="H127" s="8" t="s">
        <v>18</v>
      </c>
      <c r="I127" s="8" t="s">
        <v>19</v>
      </c>
      <c r="J127" s="8" t="s">
        <v>20</v>
      </c>
      <c r="K127" s="11"/>
      <c r="L127" s="10">
        <v>46154.0</v>
      </c>
      <c r="M127" s="11"/>
      <c r="N127" s="15"/>
      <c r="O127" s="4" t="s">
        <v>21</v>
      </c>
    </row>
    <row r="128" ht="22.5" customHeight="1">
      <c r="A128" s="4" t="s">
        <v>461</v>
      </c>
      <c r="B128" s="12">
        <v>62.0</v>
      </c>
      <c r="C128" s="28"/>
      <c r="D128" s="6" t="s">
        <v>462</v>
      </c>
      <c r="E128" s="13" t="s">
        <v>463</v>
      </c>
      <c r="F128" s="13" t="s">
        <v>464</v>
      </c>
      <c r="G128" s="20" t="s">
        <v>42</v>
      </c>
      <c r="H128" s="8" t="s">
        <v>18</v>
      </c>
      <c r="I128" s="8" t="s">
        <v>106</v>
      </c>
      <c r="J128" s="8" t="s">
        <v>20</v>
      </c>
      <c r="K128" s="11"/>
      <c r="L128" s="10">
        <v>46154.0</v>
      </c>
      <c r="M128" s="11"/>
      <c r="N128" s="15"/>
      <c r="O128" s="17"/>
    </row>
    <row r="129" ht="22.5" customHeight="1">
      <c r="A129" s="4" t="s">
        <v>465</v>
      </c>
      <c r="B129" s="12">
        <v>72.0</v>
      </c>
      <c r="C129" s="28"/>
      <c r="D129" s="6" t="s">
        <v>466</v>
      </c>
      <c r="E129" s="13" t="s">
        <v>467</v>
      </c>
      <c r="F129" s="13" t="s">
        <v>468</v>
      </c>
      <c r="G129" s="17"/>
      <c r="H129" s="8" t="s">
        <v>18</v>
      </c>
      <c r="I129" s="8" t="s">
        <v>106</v>
      </c>
      <c r="J129" s="8" t="s">
        <v>20</v>
      </c>
      <c r="K129" s="11"/>
      <c r="L129" s="10">
        <v>46154.0</v>
      </c>
      <c r="M129" s="11"/>
      <c r="N129" s="15"/>
      <c r="O129" s="17"/>
    </row>
    <row r="130" ht="22.5" customHeight="1">
      <c r="A130" s="4" t="s">
        <v>469</v>
      </c>
      <c r="B130" s="12"/>
      <c r="C130" s="28"/>
      <c r="D130" s="6" t="s">
        <v>328</v>
      </c>
      <c r="E130" s="13"/>
      <c r="F130" s="13" t="s">
        <v>470</v>
      </c>
      <c r="G130" s="17"/>
      <c r="H130" s="8" t="s">
        <v>18</v>
      </c>
      <c r="I130" s="8" t="s">
        <v>19</v>
      </c>
      <c r="J130" s="8" t="s">
        <v>20</v>
      </c>
      <c r="K130" s="11"/>
      <c r="L130" s="10">
        <v>46154.0</v>
      </c>
      <c r="M130" s="11"/>
      <c r="N130" s="15"/>
      <c r="O130" s="4" t="s">
        <v>333</v>
      </c>
    </row>
    <row r="131" ht="22.5" customHeight="1">
      <c r="A131" s="4" t="s">
        <v>471</v>
      </c>
      <c r="B131" s="12"/>
      <c r="C131" s="28"/>
      <c r="D131" s="6" t="s">
        <v>472</v>
      </c>
      <c r="E131" s="13"/>
      <c r="F131" s="19"/>
      <c r="G131" s="17"/>
      <c r="H131" s="8" t="s">
        <v>18</v>
      </c>
      <c r="I131" s="8" t="s">
        <v>19</v>
      </c>
      <c r="J131" s="8" t="s">
        <v>20</v>
      </c>
      <c r="K131" s="11"/>
      <c r="L131" s="10">
        <v>46154.0</v>
      </c>
      <c r="M131" s="11"/>
      <c r="N131" s="15"/>
      <c r="O131" s="4" t="s">
        <v>21</v>
      </c>
    </row>
    <row r="132" ht="22.5" customHeight="1">
      <c r="A132" s="4" t="s">
        <v>473</v>
      </c>
      <c r="B132" s="12">
        <v>54.0</v>
      </c>
      <c r="C132" s="28"/>
      <c r="D132" s="6" t="s">
        <v>474</v>
      </c>
      <c r="E132" s="13" t="s">
        <v>475</v>
      </c>
      <c r="F132" s="30" t="s">
        <v>476</v>
      </c>
      <c r="G132" s="17"/>
      <c r="H132" s="8" t="s">
        <v>18</v>
      </c>
      <c r="I132" s="15"/>
      <c r="J132" s="15"/>
      <c r="K132" s="11"/>
      <c r="L132" s="10">
        <v>46154.0</v>
      </c>
      <c r="M132" s="11"/>
      <c r="N132" s="15"/>
      <c r="O132" s="17"/>
    </row>
    <row r="133" ht="22.5" customHeight="1">
      <c r="A133" s="4" t="s">
        <v>477</v>
      </c>
      <c r="B133" s="12">
        <v>53.0</v>
      </c>
      <c r="C133" s="29" t="s">
        <v>228</v>
      </c>
      <c r="D133" s="6" t="s">
        <v>478</v>
      </c>
      <c r="E133" s="13" t="s">
        <v>479</v>
      </c>
      <c r="F133" s="13" t="s">
        <v>172</v>
      </c>
      <c r="G133" s="4" t="s">
        <v>480</v>
      </c>
      <c r="H133" s="8" t="s">
        <v>18</v>
      </c>
      <c r="I133" s="8" t="s">
        <v>27</v>
      </c>
      <c r="J133" s="8" t="s">
        <v>28</v>
      </c>
      <c r="K133" s="11"/>
      <c r="L133" s="10">
        <v>46154.0</v>
      </c>
      <c r="M133" s="11"/>
      <c r="N133" s="15"/>
      <c r="O133" s="17"/>
    </row>
    <row r="134" ht="22.5" customHeight="1">
      <c r="A134" s="4" t="s">
        <v>481</v>
      </c>
      <c r="B134" s="12"/>
      <c r="C134" s="28"/>
      <c r="D134" s="6" t="s">
        <v>482</v>
      </c>
      <c r="E134" s="13"/>
      <c r="F134" s="19"/>
      <c r="G134" s="17"/>
      <c r="H134" s="8" t="s">
        <v>18</v>
      </c>
      <c r="I134" s="8" t="s">
        <v>19</v>
      </c>
      <c r="J134" s="8" t="s">
        <v>20</v>
      </c>
      <c r="K134" s="11"/>
      <c r="L134" s="10">
        <v>46154.0</v>
      </c>
      <c r="M134" s="11"/>
      <c r="N134" s="15"/>
      <c r="O134" s="4" t="s">
        <v>21</v>
      </c>
    </row>
    <row r="135" ht="22.5" customHeight="1">
      <c r="A135" s="4" t="s">
        <v>483</v>
      </c>
      <c r="B135" s="12"/>
      <c r="C135" s="28"/>
      <c r="D135" s="6" t="s">
        <v>484</v>
      </c>
      <c r="E135" s="13"/>
      <c r="F135" s="19"/>
      <c r="G135" s="17"/>
      <c r="H135" s="8" t="s">
        <v>18</v>
      </c>
      <c r="I135" s="8" t="s">
        <v>19</v>
      </c>
      <c r="J135" s="8" t="s">
        <v>20</v>
      </c>
      <c r="K135" s="11"/>
      <c r="L135" s="10">
        <v>46154.0</v>
      </c>
      <c r="M135" s="11"/>
      <c r="N135" s="15"/>
      <c r="O135" s="4" t="s">
        <v>21</v>
      </c>
    </row>
    <row r="136" ht="22.5" customHeight="1">
      <c r="A136" s="4" t="s">
        <v>485</v>
      </c>
      <c r="B136" s="12"/>
      <c r="C136" s="28"/>
      <c r="D136" s="6" t="s">
        <v>275</v>
      </c>
      <c r="E136" s="13"/>
      <c r="F136" s="19"/>
      <c r="G136" s="17"/>
      <c r="H136" s="8" t="s">
        <v>18</v>
      </c>
      <c r="I136" s="8" t="s">
        <v>19</v>
      </c>
      <c r="J136" s="8" t="s">
        <v>20</v>
      </c>
      <c r="K136" s="11"/>
      <c r="L136" s="10">
        <v>46154.0</v>
      </c>
      <c r="M136" s="11"/>
      <c r="N136" s="15"/>
      <c r="O136" s="4" t="s">
        <v>21</v>
      </c>
    </row>
    <row r="137" ht="22.5" customHeight="1">
      <c r="A137" s="4" t="s">
        <v>486</v>
      </c>
      <c r="B137" s="12"/>
      <c r="C137" s="28"/>
      <c r="D137" s="6" t="s">
        <v>487</v>
      </c>
      <c r="E137" s="13"/>
      <c r="F137" s="19"/>
      <c r="G137" s="17"/>
      <c r="H137" s="8" t="s">
        <v>18</v>
      </c>
      <c r="I137" s="8" t="s">
        <v>19</v>
      </c>
      <c r="J137" s="8" t="s">
        <v>20</v>
      </c>
      <c r="K137" s="11"/>
      <c r="L137" s="10">
        <v>46154.0</v>
      </c>
      <c r="M137" s="11"/>
      <c r="N137" s="15"/>
      <c r="O137" s="4" t="s">
        <v>21</v>
      </c>
    </row>
    <row r="138" ht="22.5" customHeight="1">
      <c r="A138" s="4" t="s">
        <v>488</v>
      </c>
      <c r="B138" s="12"/>
      <c r="C138" s="28"/>
      <c r="D138" s="6" t="s">
        <v>489</v>
      </c>
      <c r="E138" s="13"/>
      <c r="F138" s="19"/>
      <c r="G138" s="17"/>
      <c r="H138" s="8" t="s">
        <v>18</v>
      </c>
      <c r="I138" s="8" t="s">
        <v>19</v>
      </c>
      <c r="J138" s="8" t="s">
        <v>20</v>
      </c>
      <c r="K138" s="11"/>
      <c r="L138" s="10">
        <v>46154.0</v>
      </c>
      <c r="M138" s="11"/>
      <c r="N138" s="15"/>
      <c r="O138" s="4" t="s">
        <v>21</v>
      </c>
    </row>
    <row r="139" ht="22.5" customHeight="1">
      <c r="A139" s="4" t="s">
        <v>490</v>
      </c>
      <c r="B139" s="12"/>
      <c r="C139" s="28"/>
      <c r="D139" s="6" t="s">
        <v>491</v>
      </c>
      <c r="E139" s="13"/>
      <c r="F139" s="19"/>
      <c r="G139" s="17"/>
      <c r="H139" s="8" t="s">
        <v>18</v>
      </c>
      <c r="I139" s="8" t="s">
        <v>19</v>
      </c>
      <c r="J139" s="8" t="s">
        <v>20</v>
      </c>
      <c r="K139" s="11"/>
      <c r="L139" s="10">
        <v>46154.0</v>
      </c>
      <c r="M139" s="11"/>
      <c r="N139" s="15"/>
      <c r="O139" s="4" t="s">
        <v>21</v>
      </c>
    </row>
    <row r="140" ht="22.5" customHeight="1">
      <c r="A140" s="4" t="s">
        <v>492</v>
      </c>
      <c r="B140" s="12">
        <v>55.0</v>
      </c>
      <c r="C140" s="28"/>
      <c r="D140" s="6" t="s">
        <v>493</v>
      </c>
      <c r="E140" s="13" t="s">
        <v>494</v>
      </c>
      <c r="F140" s="19"/>
      <c r="G140" s="17"/>
      <c r="H140" s="8" t="s">
        <v>18</v>
      </c>
      <c r="I140" s="8" t="s">
        <v>106</v>
      </c>
      <c r="J140" s="8" t="s">
        <v>20</v>
      </c>
      <c r="K140" s="11"/>
      <c r="L140" s="10">
        <v>46154.0</v>
      </c>
      <c r="M140" s="11"/>
      <c r="N140" s="15"/>
      <c r="O140" s="17"/>
    </row>
    <row r="141" ht="22.5" customHeight="1">
      <c r="A141" s="4" t="s">
        <v>495</v>
      </c>
      <c r="B141" s="12"/>
      <c r="C141" s="28"/>
      <c r="D141" s="6" t="s">
        <v>496</v>
      </c>
      <c r="E141" s="13"/>
      <c r="F141" s="13" t="s">
        <v>497</v>
      </c>
      <c r="G141" s="17"/>
      <c r="H141" s="8" t="s">
        <v>18</v>
      </c>
      <c r="I141" s="8" t="s">
        <v>19</v>
      </c>
      <c r="J141" s="8" t="s">
        <v>20</v>
      </c>
      <c r="K141" s="11"/>
      <c r="L141" s="10">
        <v>46154.0</v>
      </c>
      <c r="M141" s="11"/>
      <c r="N141" s="15"/>
      <c r="O141" s="4" t="s">
        <v>304</v>
      </c>
    </row>
    <row r="142" ht="22.5" customHeight="1">
      <c r="A142" s="4" t="s">
        <v>498</v>
      </c>
      <c r="B142" s="12"/>
      <c r="C142" s="28"/>
      <c r="D142" s="6" t="s">
        <v>499</v>
      </c>
      <c r="E142" s="13"/>
      <c r="F142" s="19"/>
      <c r="G142" s="17"/>
      <c r="H142" s="8" t="s">
        <v>18</v>
      </c>
      <c r="I142" s="8" t="s">
        <v>19</v>
      </c>
      <c r="J142" s="8" t="s">
        <v>20</v>
      </c>
      <c r="K142" s="11"/>
      <c r="L142" s="10">
        <v>46154.0</v>
      </c>
      <c r="M142" s="11"/>
      <c r="N142" s="15"/>
      <c r="O142" s="4" t="s">
        <v>21</v>
      </c>
    </row>
    <row r="143" ht="22.5" customHeight="1">
      <c r="A143" s="4" t="s">
        <v>164</v>
      </c>
      <c r="B143" s="12"/>
      <c r="C143" s="28"/>
      <c r="D143" s="6" t="s">
        <v>500</v>
      </c>
      <c r="E143" s="13"/>
      <c r="F143" s="13" t="s">
        <v>501</v>
      </c>
      <c r="G143" s="17"/>
      <c r="H143" s="8" t="s">
        <v>18</v>
      </c>
      <c r="I143" s="8" t="s">
        <v>19</v>
      </c>
      <c r="J143" s="8" t="s">
        <v>20</v>
      </c>
      <c r="K143" s="11"/>
      <c r="L143" s="10">
        <v>46154.0</v>
      </c>
      <c r="M143" s="11"/>
      <c r="N143" s="15"/>
      <c r="O143" s="4" t="s">
        <v>21</v>
      </c>
    </row>
    <row r="144" ht="22.5" customHeight="1">
      <c r="A144" s="4" t="s">
        <v>502</v>
      </c>
      <c r="B144" s="12"/>
      <c r="C144" s="29" t="s">
        <v>503</v>
      </c>
      <c r="D144" s="6" t="s">
        <v>504</v>
      </c>
      <c r="E144" s="13" t="s">
        <v>505</v>
      </c>
      <c r="F144" s="19"/>
      <c r="G144" s="17"/>
      <c r="H144" s="8" t="s">
        <v>18</v>
      </c>
      <c r="I144" s="8" t="s">
        <v>34</v>
      </c>
      <c r="J144" s="8" t="s">
        <v>35</v>
      </c>
      <c r="K144" s="11"/>
      <c r="L144" s="10">
        <v>46154.0</v>
      </c>
      <c r="M144" s="11"/>
      <c r="N144" s="15"/>
      <c r="O144" s="4" t="s">
        <v>506</v>
      </c>
    </row>
    <row r="145" ht="22.5" customHeight="1">
      <c r="A145" s="4" t="s">
        <v>507</v>
      </c>
      <c r="B145" s="12"/>
      <c r="C145" s="28"/>
      <c r="D145" s="6" t="s">
        <v>508</v>
      </c>
      <c r="E145" s="13"/>
      <c r="F145" s="19"/>
      <c r="G145" s="17"/>
      <c r="H145" s="8" t="s">
        <v>18</v>
      </c>
      <c r="I145" s="8" t="s">
        <v>34</v>
      </c>
      <c r="J145" s="8" t="s">
        <v>35</v>
      </c>
      <c r="K145" s="11"/>
      <c r="L145" s="10">
        <v>46154.0</v>
      </c>
      <c r="M145" s="11"/>
      <c r="N145" s="15"/>
      <c r="O145" s="4" t="s">
        <v>509</v>
      </c>
    </row>
    <row r="146" ht="22.5" customHeight="1">
      <c r="A146" s="4" t="s">
        <v>510</v>
      </c>
      <c r="B146" s="12">
        <v>67.0</v>
      </c>
      <c r="C146" s="28"/>
      <c r="D146" s="6" t="s">
        <v>511</v>
      </c>
      <c r="E146" s="13" t="s">
        <v>512</v>
      </c>
      <c r="F146" s="19"/>
      <c r="G146" s="4" t="s">
        <v>513</v>
      </c>
      <c r="H146" s="8" t="s">
        <v>18</v>
      </c>
      <c r="I146" s="8" t="s">
        <v>34</v>
      </c>
      <c r="J146" s="8" t="s">
        <v>35</v>
      </c>
      <c r="K146" s="11"/>
      <c r="L146" s="10">
        <v>46154.0</v>
      </c>
      <c r="M146" s="11"/>
      <c r="N146" s="15"/>
      <c r="O146" s="4" t="s">
        <v>514</v>
      </c>
    </row>
    <row r="147" ht="22.5" customHeight="1">
      <c r="A147" s="4" t="s">
        <v>515</v>
      </c>
      <c r="B147" s="12"/>
      <c r="C147" s="28"/>
      <c r="D147" s="6" t="s">
        <v>516</v>
      </c>
      <c r="E147" s="13"/>
      <c r="F147" s="19"/>
      <c r="G147" s="17"/>
      <c r="H147" s="8" t="s">
        <v>18</v>
      </c>
      <c r="I147" s="8" t="s">
        <v>19</v>
      </c>
      <c r="J147" s="8" t="s">
        <v>20</v>
      </c>
      <c r="K147" s="11"/>
      <c r="L147" s="10">
        <v>46154.0</v>
      </c>
      <c r="M147" s="11"/>
      <c r="N147" s="15"/>
      <c r="O147" s="4" t="s">
        <v>21</v>
      </c>
    </row>
    <row r="148" ht="22.5" customHeight="1">
      <c r="A148" s="4" t="s">
        <v>517</v>
      </c>
      <c r="B148" s="12"/>
      <c r="C148" s="28"/>
      <c r="D148" s="6" t="s">
        <v>518</v>
      </c>
      <c r="E148" s="13"/>
      <c r="F148" s="19"/>
      <c r="G148" s="17"/>
      <c r="H148" s="8" t="s">
        <v>18</v>
      </c>
      <c r="I148" s="8" t="s">
        <v>19</v>
      </c>
      <c r="J148" s="8" t="s">
        <v>20</v>
      </c>
      <c r="K148" s="11"/>
      <c r="L148" s="10">
        <v>46154.0</v>
      </c>
      <c r="M148" s="11"/>
      <c r="N148" s="15"/>
      <c r="O148" s="4" t="s">
        <v>21</v>
      </c>
    </row>
    <row r="149" ht="22.5" customHeight="1">
      <c r="A149" s="4" t="s">
        <v>519</v>
      </c>
      <c r="B149" s="12"/>
      <c r="C149" s="28"/>
      <c r="D149" s="6" t="s">
        <v>520</v>
      </c>
      <c r="E149" s="13"/>
      <c r="F149" s="19"/>
      <c r="G149" s="17"/>
      <c r="H149" s="8" t="s">
        <v>18</v>
      </c>
      <c r="I149" s="8" t="s">
        <v>19</v>
      </c>
      <c r="J149" s="8" t="s">
        <v>20</v>
      </c>
      <c r="K149" s="11"/>
      <c r="L149" s="10">
        <v>46154.0</v>
      </c>
      <c r="M149" s="11"/>
      <c r="N149" s="15"/>
      <c r="O149" s="4" t="s">
        <v>21</v>
      </c>
    </row>
    <row r="150" ht="22.5" customHeight="1">
      <c r="A150" s="4" t="s">
        <v>521</v>
      </c>
      <c r="B150" s="12"/>
      <c r="C150" s="28"/>
      <c r="D150" s="6" t="s">
        <v>522</v>
      </c>
      <c r="E150" s="13"/>
      <c r="F150" s="19"/>
      <c r="G150" s="17"/>
      <c r="H150" s="8" t="s">
        <v>18</v>
      </c>
      <c r="I150" s="8" t="s">
        <v>19</v>
      </c>
      <c r="J150" s="8" t="s">
        <v>20</v>
      </c>
      <c r="K150" s="11"/>
      <c r="L150" s="10">
        <v>46154.0</v>
      </c>
      <c r="M150" s="11"/>
      <c r="N150" s="15"/>
      <c r="O150" s="4" t="s">
        <v>21</v>
      </c>
    </row>
    <row r="151" ht="22.5" customHeight="1">
      <c r="A151" s="4" t="s">
        <v>523</v>
      </c>
      <c r="B151" s="12">
        <v>77.0</v>
      </c>
      <c r="C151" s="29" t="s">
        <v>524</v>
      </c>
      <c r="D151" s="6" t="s">
        <v>525</v>
      </c>
      <c r="E151" s="13" t="s">
        <v>526</v>
      </c>
      <c r="F151" s="13" t="s">
        <v>527</v>
      </c>
      <c r="G151" s="4" t="s">
        <v>314</v>
      </c>
      <c r="H151" s="8" t="s">
        <v>18</v>
      </c>
      <c r="I151" s="8" t="s">
        <v>106</v>
      </c>
      <c r="J151" s="15"/>
      <c r="K151" s="11"/>
      <c r="L151" s="10">
        <v>46154.0</v>
      </c>
      <c r="M151" s="11"/>
      <c r="N151" s="15"/>
      <c r="O151" s="17"/>
    </row>
    <row r="152" ht="22.5" customHeight="1">
      <c r="A152" s="4" t="s">
        <v>528</v>
      </c>
      <c r="B152" s="12"/>
      <c r="C152" s="28"/>
      <c r="D152" s="6" t="s">
        <v>529</v>
      </c>
      <c r="E152" s="13"/>
      <c r="F152" s="19"/>
      <c r="G152" s="17"/>
      <c r="H152" s="8" t="s">
        <v>18</v>
      </c>
      <c r="I152" s="8" t="s">
        <v>19</v>
      </c>
      <c r="J152" s="8" t="s">
        <v>20</v>
      </c>
      <c r="K152" s="11"/>
      <c r="L152" s="10">
        <v>46154.0</v>
      </c>
      <c r="M152" s="11"/>
      <c r="N152" s="15"/>
      <c r="O152" s="4" t="s">
        <v>21</v>
      </c>
    </row>
    <row r="153" ht="22.5" customHeight="1">
      <c r="A153" s="4" t="s">
        <v>530</v>
      </c>
      <c r="B153" s="12"/>
      <c r="C153" s="28"/>
      <c r="D153" s="6" t="s">
        <v>531</v>
      </c>
      <c r="E153" s="13"/>
      <c r="F153" s="19"/>
      <c r="G153" s="17"/>
      <c r="H153" s="8" t="s">
        <v>18</v>
      </c>
      <c r="I153" s="8" t="s">
        <v>19</v>
      </c>
      <c r="J153" s="8" t="s">
        <v>20</v>
      </c>
      <c r="K153" s="11"/>
      <c r="L153" s="10">
        <v>46154.0</v>
      </c>
      <c r="M153" s="11"/>
      <c r="N153" s="15"/>
      <c r="O153" s="4" t="s">
        <v>21</v>
      </c>
    </row>
    <row r="154" ht="22.5" customHeight="1">
      <c r="A154" s="4" t="s">
        <v>532</v>
      </c>
      <c r="B154" s="12">
        <v>65.0</v>
      </c>
      <c r="C154" s="29" t="s">
        <v>228</v>
      </c>
      <c r="D154" s="6" t="s">
        <v>533</v>
      </c>
      <c r="E154" s="13" t="s">
        <v>534</v>
      </c>
      <c r="F154" s="19"/>
      <c r="G154" s="17"/>
      <c r="H154" s="8" t="s">
        <v>18</v>
      </c>
      <c r="I154" s="8" t="s">
        <v>34</v>
      </c>
      <c r="J154" s="8" t="s">
        <v>59</v>
      </c>
      <c r="K154" s="11"/>
      <c r="L154" s="10">
        <v>46154.0</v>
      </c>
      <c r="M154" s="11"/>
      <c r="N154" s="15"/>
      <c r="O154" s="4" t="s">
        <v>535</v>
      </c>
    </row>
    <row r="155" ht="22.5" customHeight="1">
      <c r="A155" s="4" t="s">
        <v>380</v>
      </c>
      <c r="B155" s="12">
        <v>62.0</v>
      </c>
      <c r="C155" s="28"/>
      <c r="D155" s="6" t="s">
        <v>381</v>
      </c>
      <c r="E155" s="13"/>
      <c r="F155" s="19"/>
      <c r="G155" s="4" t="s">
        <v>536</v>
      </c>
      <c r="H155" s="8" t="s">
        <v>18</v>
      </c>
      <c r="I155" s="8" t="s">
        <v>34</v>
      </c>
      <c r="J155" s="8" t="s">
        <v>59</v>
      </c>
      <c r="K155" s="11"/>
      <c r="L155" s="10">
        <v>46154.0</v>
      </c>
      <c r="M155" s="11"/>
      <c r="N155" s="15"/>
      <c r="O155" s="4" t="s">
        <v>537</v>
      </c>
    </row>
    <row r="156" ht="22.5" customHeight="1">
      <c r="A156" s="4" t="s">
        <v>538</v>
      </c>
      <c r="B156" s="12">
        <v>59.0</v>
      </c>
      <c r="C156" s="28"/>
      <c r="D156" s="6" t="s">
        <v>539</v>
      </c>
      <c r="E156" s="13" t="s">
        <v>540</v>
      </c>
      <c r="F156" s="19"/>
      <c r="G156" s="17"/>
      <c r="H156" s="8" t="s">
        <v>18</v>
      </c>
      <c r="I156" s="8" t="s">
        <v>19</v>
      </c>
      <c r="J156" s="8" t="s">
        <v>20</v>
      </c>
      <c r="K156" s="11"/>
      <c r="L156" s="10">
        <v>46154.0</v>
      </c>
      <c r="M156" s="11"/>
      <c r="N156" s="15"/>
      <c r="O156" s="4" t="s">
        <v>541</v>
      </c>
    </row>
    <row r="157" ht="22.5" customHeight="1">
      <c r="A157" s="4" t="s">
        <v>542</v>
      </c>
      <c r="B157" s="12"/>
      <c r="C157" s="28"/>
      <c r="D157" s="6" t="s">
        <v>543</v>
      </c>
      <c r="E157" s="13"/>
      <c r="F157" s="19"/>
      <c r="G157" s="17"/>
      <c r="H157" s="8" t="s">
        <v>18</v>
      </c>
      <c r="I157" s="8" t="s">
        <v>19</v>
      </c>
      <c r="J157" s="8" t="s">
        <v>20</v>
      </c>
      <c r="K157" s="11"/>
      <c r="L157" s="10">
        <v>46154.0</v>
      </c>
      <c r="M157" s="11"/>
      <c r="N157" s="15"/>
      <c r="O157" s="4" t="s">
        <v>21</v>
      </c>
    </row>
    <row r="158" ht="22.5" customHeight="1">
      <c r="A158" s="4" t="s">
        <v>544</v>
      </c>
      <c r="B158" s="12"/>
      <c r="C158" s="29" t="s">
        <v>67</v>
      </c>
      <c r="D158" s="6" t="s">
        <v>545</v>
      </c>
      <c r="E158" s="13" t="s">
        <v>546</v>
      </c>
      <c r="F158" s="19"/>
      <c r="G158" s="17"/>
      <c r="H158" s="8" t="s">
        <v>18</v>
      </c>
      <c r="I158" s="8" t="s">
        <v>34</v>
      </c>
      <c r="J158" s="8" t="s">
        <v>35</v>
      </c>
      <c r="K158" s="11"/>
      <c r="L158" s="10">
        <v>46154.0</v>
      </c>
      <c r="M158" s="11"/>
      <c r="N158" s="15"/>
      <c r="O158" s="4" t="s">
        <v>547</v>
      </c>
    </row>
    <row r="159" ht="22.5" customHeight="1">
      <c r="A159" s="4" t="s">
        <v>548</v>
      </c>
      <c r="B159" s="12"/>
      <c r="C159" s="28"/>
      <c r="D159" s="6" t="s">
        <v>549</v>
      </c>
      <c r="E159" s="13"/>
      <c r="F159" s="19"/>
      <c r="G159" s="17"/>
      <c r="H159" s="8" t="s">
        <v>18</v>
      </c>
      <c r="I159" s="8" t="s">
        <v>19</v>
      </c>
      <c r="J159" s="8" t="s">
        <v>20</v>
      </c>
      <c r="K159" s="11"/>
      <c r="L159" s="10">
        <v>46154.0</v>
      </c>
      <c r="M159" s="11"/>
      <c r="N159" s="15"/>
      <c r="O159" s="4" t="s">
        <v>21</v>
      </c>
    </row>
    <row r="160" ht="22.5" customHeight="1">
      <c r="A160" s="24" t="s">
        <v>20</v>
      </c>
      <c r="B160" s="12"/>
      <c r="C160" s="28"/>
      <c r="D160" s="6" t="s">
        <v>550</v>
      </c>
      <c r="E160" s="13"/>
      <c r="F160" s="19"/>
      <c r="G160" s="17"/>
      <c r="H160" s="8" t="s">
        <v>18</v>
      </c>
      <c r="I160" s="8" t="s">
        <v>19</v>
      </c>
      <c r="J160" s="8" t="s">
        <v>20</v>
      </c>
      <c r="K160" s="11"/>
      <c r="L160" s="10">
        <v>46154.0</v>
      </c>
      <c r="M160" s="11"/>
      <c r="N160" s="15"/>
      <c r="O160" s="4" t="s">
        <v>21</v>
      </c>
    </row>
    <row r="161" ht="22.5" customHeight="1">
      <c r="A161" s="4" t="s">
        <v>551</v>
      </c>
      <c r="B161" s="12"/>
      <c r="C161" s="29" t="s">
        <v>78</v>
      </c>
      <c r="D161" s="6" t="s">
        <v>552</v>
      </c>
      <c r="E161" s="13"/>
      <c r="F161" s="13" t="s">
        <v>553</v>
      </c>
      <c r="G161" s="17"/>
      <c r="H161" s="8" t="s">
        <v>18</v>
      </c>
      <c r="I161" s="8" t="s">
        <v>106</v>
      </c>
      <c r="J161" s="15"/>
      <c r="K161" s="11"/>
      <c r="L161" s="10">
        <v>46154.0</v>
      </c>
      <c r="M161" s="11"/>
      <c r="N161" s="15"/>
      <c r="O161" s="17"/>
    </row>
    <row r="162" ht="22.5" customHeight="1">
      <c r="A162" s="4" t="s">
        <v>554</v>
      </c>
      <c r="B162" s="12">
        <v>58.0</v>
      </c>
      <c r="C162" s="28"/>
      <c r="D162" s="6" t="s">
        <v>555</v>
      </c>
      <c r="E162" s="13" t="s">
        <v>556</v>
      </c>
      <c r="F162" s="13" t="s">
        <v>81</v>
      </c>
      <c r="G162" s="17"/>
      <c r="H162" s="8" t="s">
        <v>18</v>
      </c>
      <c r="I162" s="8" t="s">
        <v>106</v>
      </c>
      <c r="J162" s="15"/>
      <c r="K162" s="11"/>
      <c r="L162" s="10">
        <v>46154.0</v>
      </c>
      <c r="M162" s="11"/>
      <c r="N162" s="15"/>
      <c r="O162" s="17"/>
    </row>
    <row r="163" ht="22.5" customHeight="1">
      <c r="A163" s="4" t="s">
        <v>557</v>
      </c>
      <c r="B163" s="12"/>
      <c r="C163" s="28"/>
      <c r="D163" s="6" t="s">
        <v>558</v>
      </c>
      <c r="E163" s="13"/>
      <c r="F163" s="19"/>
      <c r="G163" s="17"/>
      <c r="H163" s="8" t="s">
        <v>18</v>
      </c>
      <c r="I163" s="8" t="s">
        <v>19</v>
      </c>
      <c r="J163" s="8" t="s">
        <v>20</v>
      </c>
      <c r="K163" s="11"/>
      <c r="L163" s="10">
        <v>46154.0</v>
      </c>
      <c r="M163" s="11"/>
      <c r="N163" s="15"/>
      <c r="O163" s="4" t="s">
        <v>21</v>
      </c>
    </row>
    <row r="164" ht="22.5" customHeight="1">
      <c r="A164" s="24" t="s">
        <v>20</v>
      </c>
      <c r="B164" s="12"/>
      <c r="C164" s="28"/>
      <c r="D164" s="6" t="s">
        <v>559</v>
      </c>
      <c r="E164" s="13"/>
      <c r="F164" s="19"/>
      <c r="G164" s="17"/>
      <c r="H164" s="8" t="s">
        <v>18</v>
      </c>
      <c r="I164" s="8" t="s">
        <v>19</v>
      </c>
      <c r="J164" s="8" t="s">
        <v>20</v>
      </c>
      <c r="K164" s="11"/>
      <c r="L164" s="10">
        <v>46154.0</v>
      </c>
      <c r="M164" s="11"/>
      <c r="N164" s="15"/>
      <c r="O164" s="4" t="s">
        <v>21</v>
      </c>
    </row>
    <row r="165" ht="22.5" customHeight="1">
      <c r="A165" s="4" t="s">
        <v>560</v>
      </c>
      <c r="B165" s="12">
        <v>54.0</v>
      </c>
      <c r="C165" s="28"/>
      <c r="D165" s="6" t="s">
        <v>561</v>
      </c>
      <c r="E165" s="13" t="s">
        <v>562</v>
      </c>
      <c r="F165" s="19"/>
      <c r="G165" s="20" t="s">
        <v>216</v>
      </c>
      <c r="H165" s="8" t="s">
        <v>18</v>
      </c>
      <c r="I165" s="8" t="s">
        <v>106</v>
      </c>
      <c r="J165" s="15"/>
      <c r="K165" s="11"/>
      <c r="L165" s="10">
        <v>46154.0</v>
      </c>
      <c r="M165" s="11"/>
      <c r="N165" s="15"/>
      <c r="O165" s="17"/>
    </row>
    <row r="166" ht="22.5" customHeight="1">
      <c r="A166" s="24" t="s">
        <v>20</v>
      </c>
      <c r="B166" s="12">
        <v>43.0</v>
      </c>
      <c r="C166" s="28"/>
      <c r="D166" s="6" t="s">
        <v>563</v>
      </c>
      <c r="E166" s="13" t="s">
        <v>564</v>
      </c>
      <c r="F166" s="19"/>
      <c r="G166" s="4" t="s">
        <v>565</v>
      </c>
      <c r="H166" s="8" t="s">
        <v>18</v>
      </c>
      <c r="I166" s="8" t="s">
        <v>106</v>
      </c>
      <c r="J166" s="15"/>
      <c r="K166" s="11"/>
      <c r="L166" s="10">
        <v>46154.0</v>
      </c>
      <c r="M166" s="11"/>
      <c r="N166" s="15"/>
      <c r="O166" s="17"/>
    </row>
    <row r="167" ht="22.5" customHeight="1">
      <c r="A167" s="4" t="s">
        <v>566</v>
      </c>
      <c r="B167" s="12">
        <v>66.0</v>
      </c>
      <c r="C167" s="28"/>
      <c r="D167" s="6" t="s">
        <v>567</v>
      </c>
      <c r="E167" s="13" t="s">
        <v>568</v>
      </c>
      <c r="F167" s="19"/>
      <c r="G167" s="20" t="s">
        <v>569</v>
      </c>
      <c r="H167" s="8" t="s">
        <v>18</v>
      </c>
      <c r="I167" s="8" t="s">
        <v>19</v>
      </c>
      <c r="J167" s="8" t="s">
        <v>20</v>
      </c>
      <c r="K167" s="11"/>
      <c r="L167" s="10">
        <v>46154.0</v>
      </c>
      <c r="M167" s="11"/>
      <c r="N167" s="15"/>
      <c r="O167" s="4" t="s">
        <v>21</v>
      </c>
    </row>
    <row r="168" ht="22.5" customHeight="1">
      <c r="A168" s="4" t="s">
        <v>570</v>
      </c>
      <c r="B168" s="12">
        <v>67.0</v>
      </c>
      <c r="C168" s="28"/>
      <c r="D168" s="6" t="s">
        <v>571</v>
      </c>
      <c r="E168" s="13" t="s">
        <v>572</v>
      </c>
      <c r="F168" s="13" t="s">
        <v>573</v>
      </c>
      <c r="G168" s="17"/>
      <c r="H168" s="8" t="s">
        <v>18</v>
      </c>
      <c r="I168" s="8" t="s">
        <v>19</v>
      </c>
      <c r="J168" s="8" t="s">
        <v>20</v>
      </c>
      <c r="K168" s="11"/>
      <c r="L168" s="10">
        <v>46154.0</v>
      </c>
      <c r="M168" s="11"/>
      <c r="N168" s="15"/>
      <c r="O168" s="4" t="s">
        <v>574</v>
      </c>
    </row>
    <row r="169" ht="22.5" customHeight="1">
      <c r="A169" s="4" t="s">
        <v>575</v>
      </c>
      <c r="B169" s="12"/>
      <c r="C169" s="28"/>
      <c r="D169" s="6" t="s">
        <v>576</v>
      </c>
      <c r="E169" s="13"/>
      <c r="F169" s="13" t="s">
        <v>577</v>
      </c>
      <c r="G169" s="17"/>
      <c r="H169" s="8" t="s">
        <v>18</v>
      </c>
      <c r="I169" s="8" t="s">
        <v>106</v>
      </c>
      <c r="J169" s="15"/>
      <c r="K169" s="11"/>
      <c r="L169" s="10">
        <v>46154.0</v>
      </c>
      <c r="M169" s="11"/>
      <c r="N169" s="15"/>
      <c r="O169" s="17"/>
    </row>
    <row r="170" ht="22.5" customHeight="1">
      <c r="A170" s="4" t="s">
        <v>578</v>
      </c>
      <c r="B170" s="12">
        <v>67.0</v>
      </c>
      <c r="C170" s="29" t="s">
        <v>88</v>
      </c>
      <c r="D170" s="6" t="s">
        <v>579</v>
      </c>
      <c r="E170" s="13" t="s">
        <v>580</v>
      </c>
      <c r="F170" s="13" t="s">
        <v>172</v>
      </c>
      <c r="G170" s="17"/>
      <c r="H170" s="8" t="s">
        <v>18</v>
      </c>
      <c r="I170" s="8" t="s">
        <v>106</v>
      </c>
      <c r="J170" s="15"/>
      <c r="K170" s="11"/>
      <c r="L170" s="10">
        <v>46154.0</v>
      </c>
      <c r="M170" s="11"/>
      <c r="N170" s="15"/>
      <c r="O170" s="17"/>
    </row>
    <row r="171" ht="22.5" customHeight="1">
      <c r="A171" s="4" t="s">
        <v>581</v>
      </c>
      <c r="B171" s="12">
        <v>51.0</v>
      </c>
      <c r="C171" s="28"/>
      <c r="D171" s="6" t="s">
        <v>582</v>
      </c>
      <c r="E171" s="13" t="s">
        <v>583</v>
      </c>
      <c r="F171" s="13" t="s">
        <v>172</v>
      </c>
      <c r="G171" s="17"/>
      <c r="H171" s="8" t="s">
        <v>18</v>
      </c>
      <c r="I171" s="8" t="s">
        <v>34</v>
      </c>
      <c r="J171" s="8" t="s">
        <v>59</v>
      </c>
      <c r="K171" s="11"/>
      <c r="L171" s="10">
        <v>46154.0</v>
      </c>
      <c r="M171" s="11"/>
      <c r="N171" s="15"/>
      <c r="O171" s="4" t="s">
        <v>584</v>
      </c>
    </row>
    <row r="172" ht="22.5" customHeight="1">
      <c r="A172" s="4" t="s">
        <v>585</v>
      </c>
      <c r="B172" s="12"/>
      <c r="C172" s="29" t="s">
        <v>586</v>
      </c>
      <c r="D172" s="6" t="s">
        <v>587</v>
      </c>
      <c r="E172" s="13" t="s">
        <v>588</v>
      </c>
      <c r="F172" s="19"/>
      <c r="G172" s="17"/>
      <c r="H172" s="8" t="s">
        <v>18</v>
      </c>
      <c r="I172" s="8" t="s">
        <v>19</v>
      </c>
      <c r="J172" s="8" t="s">
        <v>20</v>
      </c>
      <c r="K172" s="11"/>
      <c r="L172" s="10">
        <v>46154.0</v>
      </c>
      <c r="M172" s="11"/>
      <c r="N172" s="15"/>
      <c r="O172" s="4" t="s">
        <v>21</v>
      </c>
    </row>
    <row r="173" ht="22.5" customHeight="1">
      <c r="A173" s="4" t="s">
        <v>589</v>
      </c>
      <c r="B173" s="12">
        <v>70.0</v>
      </c>
      <c r="C173" s="28"/>
      <c r="D173" s="6" t="s">
        <v>590</v>
      </c>
      <c r="E173" s="13" t="s">
        <v>591</v>
      </c>
      <c r="F173" s="19"/>
      <c r="G173" s="17"/>
      <c r="H173" s="8" t="s">
        <v>18</v>
      </c>
      <c r="I173" s="8" t="s">
        <v>19</v>
      </c>
      <c r="J173" s="8" t="s">
        <v>20</v>
      </c>
      <c r="K173" s="11"/>
      <c r="L173" s="10">
        <v>46154.0</v>
      </c>
      <c r="M173" s="11"/>
      <c r="N173" s="15"/>
      <c r="O173" s="4" t="s">
        <v>21</v>
      </c>
    </row>
    <row r="174" ht="22.5" customHeight="1">
      <c r="A174" s="4" t="s">
        <v>592</v>
      </c>
      <c r="B174" s="12"/>
      <c r="C174" s="28"/>
      <c r="D174" s="6" t="s">
        <v>593</v>
      </c>
      <c r="E174" s="13"/>
      <c r="F174" s="13" t="s">
        <v>594</v>
      </c>
      <c r="G174" s="17"/>
      <c r="H174" s="8" t="s">
        <v>18</v>
      </c>
      <c r="I174" s="8" t="s">
        <v>106</v>
      </c>
      <c r="J174" s="15"/>
      <c r="K174" s="11"/>
      <c r="L174" s="10">
        <v>46154.0</v>
      </c>
      <c r="M174" s="11"/>
      <c r="N174" s="15"/>
      <c r="O174" s="17"/>
    </row>
    <row r="175" ht="22.5" customHeight="1">
      <c r="A175" s="4" t="s">
        <v>595</v>
      </c>
      <c r="B175" s="12">
        <v>68.0</v>
      </c>
      <c r="C175" s="28"/>
      <c r="D175" s="6" t="s">
        <v>596</v>
      </c>
      <c r="E175" s="13" t="s">
        <v>597</v>
      </c>
      <c r="F175" s="19"/>
      <c r="G175" s="17"/>
      <c r="H175" s="8" t="s">
        <v>18</v>
      </c>
      <c r="I175" s="8" t="s">
        <v>106</v>
      </c>
      <c r="J175" s="15"/>
      <c r="K175" s="11"/>
      <c r="L175" s="10">
        <v>46154.0</v>
      </c>
      <c r="M175" s="11"/>
      <c r="N175" s="15"/>
      <c r="O175" s="17"/>
    </row>
    <row r="176" ht="22.5" customHeight="1">
      <c r="A176" s="4" t="s">
        <v>598</v>
      </c>
      <c r="B176" s="12">
        <v>66.0</v>
      </c>
      <c r="C176" s="28"/>
      <c r="D176" s="6" t="s">
        <v>599</v>
      </c>
      <c r="E176" s="13" t="s">
        <v>600</v>
      </c>
      <c r="F176" s="19"/>
      <c r="G176" s="20" t="s">
        <v>216</v>
      </c>
      <c r="H176" s="8" t="s">
        <v>18</v>
      </c>
      <c r="I176" s="8" t="s">
        <v>106</v>
      </c>
      <c r="J176" s="15"/>
      <c r="K176" s="11"/>
      <c r="L176" s="10">
        <v>46154.0</v>
      </c>
      <c r="M176" s="11"/>
      <c r="N176" s="15"/>
      <c r="O176" s="17"/>
    </row>
    <row r="177" ht="22.5" customHeight="1">
      <c r="A177" s="4" t="s">
        <v>601</v>
      </c>
      <c r="B177" s="12">
        <v>71.0</v>
      </c>
      <c r="C177" s="29" t="s">
        <v>602</v>
      </c>
      <c r="D177" s="6" t="s">
        <v>603</v>
      </c>
      <c r="E177" s="13" t="s">
        <v>604</v>
      </c>
      <c r="F177" s="19"/>
      <c r="G177" s="17"/>
      <c r="H177" s="8" t="s">
        <v>18</v>
      </c>
      <c r="I177" s="8" t="s">
        <v>106</v>
      </c>
      <c r="J177" s="15"/>
      <c r="K177" s="11"/>
      <c r="L177" s="10">
        <v>46154.0</v>
      </c>
      <c r="M177" s="11"/>
      <c r="N177" s="15"/>
      <c r="O177" s="17"/>
    </row>
    <row r="178" ht="22.5" customHeight="1">
      <c r="A178" s="4" t="s">
        <v>605</v>
      </c>
      <c r="B178" s="12">
        <v>67.0</v>
      </c>
      <c r="C178" s="29" t="s">
        <v>606</v>
      </c>
      <c r="D178" s="6" t="s">
        <v>607</v>
      </c>
      <c r="E178" s="13" t="s">
        <v>608</v>
      </c>
      <c r="F178" s="19"/>
      <c r="G178" s="4" t="s">
        <v>609</v>
      </c>
      <c r="H178" s="8" t="s">
        <v>18</v>
      </c>
      <c r="I178" s="8" t="s">
        <v>106</v>
      </c>
      <c r="J178" s="15"/>
      <c r="K178" s="11"/>
      <c r="L178" s="10">
        <v>46154.0</v>
      </c>
      <c r="M178" s="11"/>
      <c r="N178" s="15"/>
      <c r="O178" s="17"/>
    </row>
    <row r="179" ht="22.5" customHeight="1">
      <c r="A179" s="4" t="s">
        <v>610</v>
      </c>
      <c r="B179" s="12">
        <v>60.0</v>
      </c>
      <c r="C179" s="28"/>
      <c r="D179" s="6" t="s">
        <v>611</v>
      </c>
      <c r="E179" s="13" t="s">
        <v>612</v>
      </c>
      <c r="F179" s="13" t="s">
        <v>613</v>
      </c>
      <c r="G179" s="17"/>
      <c r="H179" s="8" t="s">
        <v>18</v>
      </c>
      <c r="I179" s="8" t="s">
        <v>106</v>
      </c>
      <c r="J179" s="15"/>
      <c r="K179" s="11"/>
      <c r="L179" s="10">
        <v>46154.0</v>
      </c>
      <c r="M179" s="11"/>
      <c r="N179" s="15"/>
      <c r="O179" s="17"/>
    </row>
    <row r="180" ht="22.5" customHeight="1">
      <c r="A180" s="4"/>
      <c r="B180" s="12"/>
      <c r="C180" s="18"/>
      <c r="D180" s="6" t="s">
        <v>614</v>
      </c>
      <c r="E180" s="13"/>
      <c r="F180" s="19"/>
      <c r="G180" s="17"/>
      <c r="H180" s="15"/>
      <c r="I180" s="8" t="s">
        <v>106</v>
      </c>
      <c r="J180" s="15"/>
      <c r="K180" s="11"/>
      <c r="L180" s="10">
        <v>46157.0</v>
      </c>
      <c r="M180" s="11"/>
      <c r="N180" s="15"/>
      <c r="O180" s="17"/>
    </row>
    <row r="181" ht="22.5" customHeight="1">
      <c r="A181" s="4"/>
      <c r="B181" s="12"/>
      <c r="C181" s="18"/>
      <c r="D181" s="6" t="s">
        <v>615</v>
      </c>
      <c r="E181" s="13"/>
      <c r="F181" s="19"/>
      <c r="G181" s="17"/>
      <c r="H181" s="15"/>
      <c r="I181" s="8" t="s">
        <v>106</v>
      </c>
      <c r="J181" s="15"/>
      <c r="K181" s="11"/>
      <c r="L181" s="31"/>
      <c r="M181" s="11"/>
      <c r="N181" s="15"/>
      <c r="O181" s="17"/>
    </row>
    <row r="182" ht="22.5" customHeight="1">
      <c r="A182" s="4"/>
      <c r="B182" s="12">
        <v>60.0</v>
      </c>
      <c r="C182" s="12" t="s">
        <v>616</v>
      </c>
      <c r="D182" s="6" t="s">
        <v>617</v>
      </c>
      <c r="E182" s="13" t="s">
        <v>618</v>
      </c>
      <c r="F182" s="19"/>
      <c r="G182" s="4" t="s">
        <v>619</v>
      </c>
      <c r="H182" s="15"/>
      <c r="I182" s="15"/>
      <c r="J182" s="15"/>
      <c r="K182" s="11"/>
      <c r="L182" s="31"/>
      <c r="M182" s="11"/>
      <c r="N182" s="15"/>
      <c r="O182" s="17"/>
    </row>
    <row r="183" ht="22.5" customHeight="1">
      <c r="A183" s="4"/>
      <c r="B183" s="12"/>
      <c r="C183" s="18"/>
      <c r="D183" s="6" t="s">
        <v>620</v>
      </c>
      <c r="E183" s="13"/>
      <c r="F183" s="19"/>
      <c r="G183" s="17"/>
      <c r="H183" s="15"/>
      <c r="I183" s="15"/>
      <c r="J183" s="15"/>
      <c r="K183" s="11"/>
      <c r="L183" s="31"/>
      <c r="M183" s="11"/>
      <c r="N183" s="15"/>
      <c r="O183" s="17"/>
    </row>
    <row r="184" ht="22.5" customHeight="1">
      <c r="A184" s="4" t="s">
        <v>621</v>
      </c>
      <c r="B184" s="12">
        <v>64.0</v>
      </c>
      <c r="C184" s="18"/>
      <c r="D184" s="6" t="s">
        <v>622</v>
      </c>
      <c r="E184" s="13" t="s">
        <v>623</v>
      </c>
      <c r="F184" s="19"/>
      <c r="G184" s="17"/>
      <c r="H184" s="15"/>
      <c r="I184" s="15"/>
      <c r="J184" s="15"/>
      <c r="K184" s="11"/>
      <c r="L184" s="31"/>
      <c r="M184" s="11"/>
      <c r="N184" s="15"/>
      <c r="O184" s="17"/>
    </row>
    <row r="185" ht="22.5" customHeight="1">
      <c r="A185" s="4" t="s">
        <v>624</v>
      </c>
      <c r="B185" s="12"/>
      <c r="C185" s="18"/>
      <c r="D185" s="6" t="s">
        <v>625</v>
      </c>
      <c r="E185" s="13" t="s">
        <v>626</v>
      </c>
      <c r="F185" s="19"/>
      <c r="G185" s="4" t="s">
        <v>627</v>
      </c>
      <c r="H185" s="15"/>
      <c r="I185" s="15"/>
      <c r="J185" s="15"/>
      <c r="K185" s="11"/>
      <c r="L185" s="31"/>
      <c r="M185" s="11"/>
      <c r="N185" s="15"/>
      <c r="O185" s="17"/>
    </row>
    <row r="186" ht="22.5" customHeight="1">
      <c r="A186" s="4"/>
      <c r="B186" s="12"/>
      <c r="C186" s="18"/>
      <c r="D186" s="6" t="s">
        <v>628</v>
      </c>
      <c r="E186" s="13" t="s">
        <v>629</v>
      </c>
      <c r="F186" s="13" t="s">
        <v>464</v>
      </c>
      <c r="G186" s="17"/>
      <c r="H186" s="15"/>
      <c r="I186" s="15"/>
      <c r="J186" s="15"/>
      <c r="K186" s="11"/>
      <c r="L186" s="31"/>
      <c r="M186" s="11"/>
      <c r="N186" s="15"/>
      <c r="O186" s="17"/>
    </row>
    <row r="187" ht="22.5" customHeight="1">
      <c r="A187" s="4"/>
      <c r="B187" s="12">
        <v>68.0</v>
      </c>
      <c r="C187" s="18"/>
      <c r="D187" s="6" t="s">
        <v>630</v>
      </c>
      <c r="E187" s="13" t="s">
        <v>631</v>
      </c>
      <c r="F187" s="19"/>
      <c r="G187" s="17"/>
      <c r="H187" s="15"/>
      <c r="I187" s="15"/>
      <c r="J187" s="15"/>
      <c r="K187" s="11"/>
      <c r="L187" s="31"/>
      <c r="M187" s="11"/>
      <c r="N187" s="15"/>
      <c r="O187" s="17"/>
    </row>
    <row r="188" ht="22.5" customHeight="1">
      <c r="A188" s="4"/>
      <c r="B188" s="12"/>
      <c r="C188" s="18"/>
      <c r="D188" s="6" t="s">
        <v>632</v>
      </c>
      <c r="E188" s="13"/>
      <c r="F188" s="19"/>
      <c r="G188" s="17"/>
      <c r="H188" s="15"/>
      <c r="I188" s="15"/>
      <c r="J188" s="15"/>
      <c r="K188" s="11"/>
      <c r="L188" s="31"/>
      <c r="M188" s="11"/>
      <c r="N188" s="15"/>
      <c r="O188" s="17"/>
    </row>
    <row r="189" ht="22.5" customHeight="1">
      <c r="A189" s="4"/>
      <c r="B189" s="12">
        <v>61.0</v>
      </c>
      <c r="C189" s="12" t="s">
        <v>397</v>
      </c>
      <c r="D189" s="6" t="s">
        <v>633</v>
      </c>
      <c r="E189" s="13" t="s">
        <v>634</v>
      </c>
      <c r="F189" s="13" t="s">
        <v>635</v>
      </c>
      <c r="G189" s="4" t="s">
        <v>636</v>
      </c>
      <c r="H189" s="15"/>
      <c r="I189" s="8" t="s">
        <v>27</v>
      </c>
      <c r="J189" s="8" t="s">
        <v>28</v>
      </c>
      <c r="K189" s="11"/>
      <c r="L189" s="31"/>
      <c r="M189" s="11"/>
      <c r="N189" s="15"/>
      <c r="O189" s="17"/>
    </row>
    <row r="190" ht="22.5" customHeight="1">
      <c r="A190" s="4"/>
      <c r="B190" s="12"/>
      <c r="C190" s="18"/>
      <c r="D190" s="6" t="s">
        <v>637</v>
      </c>
      <c r="E190" s="13"/>
      <c r="F190" s="19"/>
      <c r="G190" s="17"/>
      <c r="H190" s="15"/>
      <c r="I190" s="15"/>
      <c r="J190" s="15"/>
      <c r="K190" s="11"/>
      <c r="L190" s="31"/>
      <c r="M190" s="11"/>
      <c r="N190" s="15"/>
      <c r="O190" s="17"/>
    </row>
    <row r="191" ht="22.5" customHeight="1">
      <c r="A191" s="4"/>
      <c r="B191" s="12"/>
      <c r="C191" s="12" t="s">
        <v>638</v>
      </c>
      <c r="D191" s="6" t="s">
        <v>639</v>
      </c>
      <c r="E191" s="13"/>
      <c r="F191" s="13" t="s">
        <v>640</v>
      </c>
      <c r="G191" s="17"/>
      <c r="H191" s="15"/>
      <c r="I191" s="15"/>
      <c r="J191" s="15"/>
      <c r="K191" s="11"/>
      <c r="L191" s="31"/>
      <c r="M191" s="11"/>
      <c r="N191" s="15"/>
      <c r="O191" s="17"/>
    </row>
    <row r="192" ht="22.5" customHeight="1">
      <c r="A192" s="4"/>
      <c r="B192" s="12"/>
      <c r="C192" s="18"/>
      <c r="D192" s="6" t="s">
        <v>641</v>
      </c>
      <c r="E192" s="13"/>
      <c r="F192" s="19"/>
      <c r="G192" s="17"/>
      <c r="H192" s="15"/>
      <c r="I192" s="15"/>
      <c r="J192" s="15"/>
      <c r="K192" s="11"/>
      <c r="L192" s="31"/>
      <c r="M192" s="11"/>
      <c r="N192" s="15"/>
      <c r="O192" s="17"/>
    </row>
    <row r="193" ht="22.5" customHeight="1">
      <c r="A193" s="4"/>
      <c r="B193" s="12"/>
      <c r="C193" s="18"/>
      <c r="D193" s="6" t="s">
        <v>642</v>
      </c>
      <c r="E193" s="13" t="s">
        <v>643</v>
      </c>
      <c r="F193" s="13"/>
      <c r="G193" s="4" t="s">
        <v>644</v>
      </c>
      <c r="H193" s="15"/>
      <c r="I193" s="8" t="s">
        <v>27</v>
      </c>
      <c r="J193" s="8" t="s">
        <v>28</v>
      </c>
      <c r="K193" s="11"/>
      <c r="L193" s="31"/>
      <c r="M193" s="11"/>
      <c r="N193" s="15"/>
      <c r="O193" s="17"/>
    </row>
    <row r="194" ht="22.5" customHeight="1">
      <c r="A194" s="4" t="s">
        <v>645</v>
      </c>
      <c r="B194" s="12">
        <v>58.0</v>
      </c>
      <c r="C194" s="12" t="s">
        <v>646</v>
      </c>
      <c r="D194" s="6" t="s">
        <v>647</v>
      </c>
      <c r="E194" s="13" t="s">
        <v>648</v>
      </c>
      <c r="F194" s="19"/>
      <c r="G194" s="17"/>
      <c r="H194" s="15"/>
      <c r="I194" s="8" t="s">
        <v>34</v>
      </c>
      <c r="J194" s="8" t="s">
        <v>35</v>
      </c>
      <c r="K194" s="11"/>
      <c r="L194" s="31"/>
      <c r="M194" s="11"/>
      <c r="N194" s="15"/>
      <c r="O194" s="4" t="s">
        <v>649</v>
      </c>
    </row>
    <row r="195" ht="22.5" customHeight="1">
      <c r="A195" s="4"/>
      <c r="B195" s="12"/>
      <c r="C195" s="18"/>
      <c r="D195" s="6" t="s">
        <v>650</v>
      </c>
      <c r="E195" s="13"/>
      <c r="F195" s="19"/>
      <c r="G195" s="17"/>
      <c r="H195" s="15"/>
      <c r="I195" s="15"/>
      <c r="J195" s="15"/>
      <c r="K195" s="11"/>
      <c r="L195" s="31"/>
      <c r="M195" s="11"/>
      <c r="N195" s="15"/>
      <c r="O195" s="17"/>
    </row>
    <row r="196" ht="22.5" customHeight="1">
      <c r="A196" s="4"/>
      <c r="B196" s="12"/>
      <c r="C196" s="18"/>
      <c r="D196" s="6" t="s">
        <v>651</v>
      </c>
      <c r="E196" s="13"/>
      <c r="F196" s="19"/>
      <c r="G196" s="17"/>
      <c r="H196" s="15"/>
      <c r="I196" s="15"/>
      <c r="J196" s="15"/>
      <c r="K196" s="11"/>
      <c r="L196" s="31"/>
      <c r="M196" s="11"/>
      <c r="N196" s="15"/>
      <c r="O196" s="17"/>
    </row>
    <row r="197" ht="22.5" customHeight="1">
      <c r="A197" s="4"/>
      <c r="B197" s="12"/>
      <c r="C197" s="18"/>
      <c r="D197" s="6" t="s">
        <v>652</v>
      </c>
      <c r="E197" s="13" t="s">
        <v>653</v>
      </c>
      <c r="F197" s="19"/>
      <c r="G197" s="4" t="s">
        <v>314</v>
      </c>
      <c r="H197" s="15"/>
      <c r="I197" s="15"/>
      <c r="J197" s="15"/>
      <c r="K197" s="11"/>
      <c r="L197" s="31"/>
      <c r="M197" s="11"/>
      <c r="N197" s="15"/>
      <c r="O197" s="17"/>
    </row>
    <row r="198" ht="22.5" customHeight="1">
      <c r="A198" s="4"/>
      <c r="B198" s="12"/>
      <c r="C198" s="18"/>
      <c r="D198" s="6" t="s">
        <v>654</v>
      </c>
      <c r="E198" s="13"/>
      <c r="F198" s="19"/>
      <c r="G198" s="17"/>
      <c r="H198" s="15"/>
      <c r="I198" s="15"/>
      <c r="J198" s="15"/>
      <c r="K198" s="11"/>
      <c r="L198" s="31"/>
      <c r="M198" s="11"/>
      <c r="N198" s="15"/>
      <c r="O198" s="17"/>
    </row>
    <row r="199" ht="22.5" customHeight="1">
      <c r="A199" s="4" t="s">
        <v>655</v>
      </c>
      <c r="B199" s="12">
        <v>66.0</v>
      </c>
      <c r="C199" s="18"/>
      <c r="D199" s="6" t="s">
        <v>656</v>
      </c>
      <c r="E199" s="13" t="s">
        <v>657</v>
      </c>
      <c r="F199" s="13" t="s">
        <v>464</v>
      </c>
      <c r="G199" s="17"/>
      <c r="H199" s="15"/>
      <c r="I199" s="8" t="s">
        <v>34</v>
      </c>
      <c r="J199" s="8" t="s">
        <v>35</v>
      </c>
      <c r="K199" s="11"/>
      <c r="L199" s="31"/>
      <c r="M199" s="11"/>
      <c r="N199" s="15"/>
      <c r="O199" s="4" t="s">
        <v>658</v>
      </c>
    </row>
    <row r="200" ht="22.5" customHeight="1">
      <c r="A200" s="4"/>
      <c r="B200" s="12"/>
      <c r="C200" s="18"/>
      <c r="D200" s="6" t="s">
        <v>659</v>
      </c>
      <c r="E200" s="13"/>
      <c r="F200" s="19"/>
      <c r="G200" s="17"/>
      <c r="H200" s="15"/>
      <c r="I200" s="15"/>
      <c r="J200" s="15"/>
      <c r="K200" s="11"/>
      <c r="L200" s="31"/>
      <c r="M200" s="11"/>
      <c r="N200" s="15"/>
      <c r="O200" s="17"/>
    </row>
    <row r="201" ht="22.5" customHeight="1">
      <c r="A201" s="4"/>
      <c r="B201" s="12"/>
      <c r="C201" s="18"/>
      <c r="D201" s="6" t="s">
        <v>660</v>
      </c>
      <c r="E201" s="13"/>
      <c r="F201" s="19"/>
      <c r="G201" s="17"/>
      <c r="H201" s="15"/>
      <c r="I201" s="15"/>
      <c r="J201" s="15"/>
      <c r="K201" s="11"/>
      <c r="L201" s="31"/>
      <c r="M201" s="11"/>
      <c r="N201" s="15"/>
      <c r="O201" s="17"/>
    </row>
    <row r="202" ht="22.5" customHeight="1">
      <c r="A202" s="4"/>
      <c r="B202" s="12">
        <v>71.0</v>
      </c>
      <c r="C202" s="12" t="s">
        <v>451</v>
      </c>
      <c r="D202" s="6" t="s">
        <v>661</v>
      </c>
      <c r="E202" s="13" t="s">
        <v>662</v>
      </c>
      <c r="F202" s="19"/>
      <c r="G202" s="17"/>
      <c r="H202" s="15"/>
      <c r="I202" s="8" t="s">
        <v>19</v>
      </c>
      <c r="J202" s="8" t="s">
        <v>20</v>
      </c>
      <c r="K202" s="11"/>
      <c r="L202" s="31"/>
      <c r="M202" s="11"/>
      <c r="N202" s="15"/>
      <c r="O202" s="4" t="s">
        <v>413</v>
      </c>
    </row>
    <row r="203" ht="22.5" customHeight="1">
      <c r="A203" s="4"/>
      <c r="B203" s="12">
        <v>60.0</v>
      </c>
      <c r="C203" s="12" t="s">
        <v>663</v>
      </c>
      <c r="D203" s="6" t="s">
        <v>664</v>
      </c>
      <c r="E203" s="13" t="s">
        <v>665</v>
      </c>
      <c r="F203" s="13" t="s">
        <v>666</v>
      </c>
      <c r="G203" s="17"/>
      <c r="H203" s="15"/>
      <c r="I203" s="8" t="s">
        <v>34</v>
      </c>
      <c r="J203" s="8" t="s">
        <v>35</v>
      </c>
      <c r="K203" s="11"/>
      <c r="L203" s="31"/>
      <c r="M203" s="11"/>
      <c r="N203" s="15"/>
      <c r="O203" s="4" t="s">
        <v>667</v>
      </c>
    </row>
    <row r="204" ht="22.5" customHeight="1">
      <c r="A204" s="4"/>
      <c r="B204" s="12"/>
      <c r="C204" s="18"/>
      <c r="D204" s="6" t="s">
        <v>668</v>
      </c>
      <c r="E204" s="13"/>
      <c r="F204" s="19"/>
      <c r="G204" s="17"/>
      <c r="H204" s="15"/>
      <c r="I204" s="15"/>
      <c r="J204" s="15"/>
      <c r="K204" s="11"/>
      <c r="L204" s="31"/>
      <c r="M204" s="11"/>
      <c r="N204" s="15"/>
      <c r="O204" s="17"/>
    </row>
    <row r="205" ht="22.5" customHeight="1">
      <c r="A205" s="4" t="s">
        <v>669</v>
      </c>
      <c r="B205" s="12"/>
      <c r="C205" s="12" t="s">
        <v>88</v>
      </c>
      <c r="D205" s="6" t="s">
        <v>670</v>
      </c>
      <c r="E205" s="13"/>
      <c r="F205" s="19"/>
      <c r="G205" s="17"/>
      <c r="H205" s="15"/>
      <c r="I205" s="8" t="s">
        <v>19</v>
      </c>
      <c r="J205" s="8" t="s">
        <v>20</v>
      </c>
      <c r="K205" s="11"/>
      <c r="L205" s="31"/>
      <c r="M205" s="11"/>
      <c r="N205" s="15"/>
      <c r="O205" s="4" t="s">
        <v>671</v>
      </c>
    </row>
    <row r="206" ht="22.5" customHeight="1">
      <c r="A206" s="4"/>
      <c r="B206" s="12">
        <v>61.0</v>
      </c>
      <c r="C206" s="12" t="s">
        <v>672</v>
      </c>
      <c r="D206" s="6" t="s">
        <v>673</v>
      </c>
      <c r="E206" s="13" t="s">
        <v>674</v>
      </c>
      <c r="F206" s="19"/>
      <c r="G206" s="4" t="s">
        <v>675</v>
      </c>
      <c r="H206" s="15"/>
      <c r="I206" s="8" t="s">
        <v>27</v>
      </c>
      <c r="J206" s="8" t="s">
        <v>28</v>
      </c>
      <c r="K206" s="11"/>
      <c r="L206" s="31"/>
      <c r="M206" s="11"/>
      <c r="N206" s="15"/>
      <c r="O206" s="17"/>
    </row>
    <row r="207" ht="22.5" customHeight="1">
      <c r="A207" s="4"/>
      <c r="B207" s="12"/>
      <c r="C207" s="18"/>
      <c r="D207" s="6" t="s">
        <v>676</v>
      </c>
      <c r="E207" s="13" t="s">
        <v>677</v>
      </c>
      <c r="F207" s="19"/>
      <c r="G207" s="17"/>
      <c r="H207" s="15"/>
      <c r="I207" s="15"/>
      <c r="J207" s="15"/>
      <c r="K207" s="11"/>
      <c r="L207" s="31"/>
      <c r="M207" s="11"/>
      <c r="N207" s="15"/>
      <c r="O207" s="17"/>
    </row>
    <row r="208" ht="22.5" customHeight="1">
      <c r="A208" s="4"/>
      <c r="B208" s="12"/>
      <c r="C208" s="18"/>
      <c r="D208" s="6" t="s">
        <v>678</v>
      </c>
      <c r="E208" s="13"/>
      <c r="F208" s="19"/>
      <c r="G208" s="17"/>
      <c r="H208" s="15"/>
      <c r="I208" s="15"/>
      <c r="J208" s="15"/>
      <c r="K208" s="11"/>
      <c r="L208" s="31"/>
      <c r="M208" s="11"/>
      <c r="N208" s="15"/>
      <c r="O208" s="17"/>
    </row>
    <row r="209" ht="22.5" customHeight="1">
      <c r="A209" s="4"/>
      <c r="B209" s="12"/>
      <c r="C209" s="18"/>
      <c r="D209" s="6" t="s">
        <v>679</v>
      </c>
      <c r="E209" s="13"/>
      <c r="F209" s="19"/>
      <c r="G209" s="17"/>
      <c r="H209" s="15"/>
      <c r="I209" s="15"/>
      <c r="J209" s="15"/>
      <c r="K209" s="11"/>
      <c r="L209" s="31"/>
      <c r="M209" s="11"/>
      <c r="N209" s="15"/>
      <c r="O209" s="17"/>
    </row>
    <row r="210" ht="22.5" customHeight="1">
      <c r="A210" s="4"/>
      <c r="B210" s="12"/>
      <c r="C210" s="18"/>
      <c r="D210" s="6" t="s">
        <v>680</v>
      </c>
      <c r="E210" s="13"/>
      <c r="F210" s="19"/>
      <c r="G210" s="17"/>
      <c r="H210" s="15"/>
      <c r="I210" s="15"/>
      <c r="J210" s="15"/>
      <c r="K210" s="11"/>
      <c r="L210" s="31"/>
      <c r="M210" s="11"/>
      <c r="N210" s="15"/>
      <c r="O210" s="17"/>
    </row>
    <row r="211" ht="22.5" customHeight="1">
      <c r="A211" s="4"/>
      <c r="B211" s="12"/>
      <c r="C211" s="18"/>
      <c r="D211" s="6" t="s">
        <v>681</v>
      </c>
      <c r="E211" s="13"/>
      <c r="F211" s="19"/>
      <c r="G211" s="17"/>
      <c r="H211" s="15"/>
      <c r="I211" s="15"/>
      <c r="J211" s="15"/>
      <c r="K211" s="11"/>
      <c r="L211" s="31"/>
      <c r="M211" s="11"/>
      <c r="N211" s="15"/>
      <c r="O211" s="17"/>
    </row>
    <row r="212" ht="22.5" customHeight="1">
      <c r="A212" s="4" t="s">
        <v>682</v>
      </c>
      <c r="B212" s="12">
        <v>68.0</v>
      </c>
      <c r="C212" s="12" t="s">
        <v>683</v>
      </c>
      <c r="D212" s="6" t="s">
        <v>684</v>
      </c>
      <c r="E212" s="13" t="s">
        <v>685</v>
      </c>
      <c r="F212" s="13" t="s">
        <v>81</v>
      </c>
      <c r="G212" s="4" t="s">
        <v>686</v>
      </c>
      <c r="H212" s="15"/>
      <c r="I212" s="8" t="s">
        <v>34</v>
      </c>
      <c r="J212" s="8" t="s">
        <v>59</v>
      </c>
      <c r="K212" s="11"/>
      <c r="L212" s="31"/>
      <c r="M212" s="11"/>
      <c r="N212" s="15"/>
      <c r="O212" s="4" t="s">
        <v>687</v>
      </c>
    </row>
    <row r="213" ht="22.5" customHeight="1">
      <c r="A213" s="32" t="s">
        <v>688</v>
      </c>
      <c r="B213" s="33">
        <v>77.0</v>
      </c>
      <c r="C213" s="33" t="s">
        <v>524</v>
      </c>
      <c r="D213" s="34" t="s">
        <v>689</v>
      </c>
      <c r="E213" s="35" t="s">
        <v>690</v>
      </c>
      <c r="F213" s="36"/>
      <c r="G213" s="37"/>
      <c r="H213" s="38"/>
      <c r="I213" s="38"/>
      <c r="J213" s="38"/>
      <c r="K213" s="39"/>
      <c r="L213" s="40"/>
      <c r="M213" s="39"/>
      <c r="N213" s="38"/>
      <c r="O213" s="37"/>
    </row>
    <row r="214" ht="22.5" customHeight="1">
      <c r="A214" s="32"/>
      <c r="B214" s="33"/>
      <c r="C214" s="41"/>
      <c r="D214" s="34" t="s">
        <v>691</v>
      </c>
      <c r="E214" s="35"/>
      <c r="F214" s="36"/>
      <c r="G214" s="37"/>
      <c r="H214" s="38"/>
      <c r="I214" s="38"/>
      <c r="J214" s="38"/>
      <c r="K214" s="39"/>
      <c r="L214" s="42">
        <v>46155.0</v>
      </c>
      <c r="M214" s="39"/>
      <c r="N214" s="38"/>
      <c r="O214" s="37"/>
    </row>
    <row r="215" ht="22.5" customHeight="1">
      <c r="A215" s="32"/>
      <c r="B215" s="33"/>
      <c r="C215" s="41"/>
      <c r="D215" s="34" t="s">
        <v>692</v>
      </c>
      <c r="E215" s="35"/>
      <c r="F215" s="36"/>
      <c r="G215" s="37"/>
      <c r="H215" s="38"/>
      <c r="I215" s="38"/>
      <c r="J215" s="38"/>
      <c r="K215" s="39"/>
      <c r="L215" s="42">
        <v>46155.0</v>
      </c>
      <c r="M215" s="39"/>
      <c r="N215" s="38"/>
      <c r="O215" s="37"/>
    </row>
    <row r="216" ht="22.5" customHeight="1">
      <c r="A216" s="32" t="s">
        <v>693</v>
      </c>
      <c r="B216" s="33"/>
      <c r="C216" s="41"/>
      <c r="D216" s="34" t="s">
        <v>694</v>
      </c>
      <c r="E216" s="35" t="s">
        <v>695</v>
      </c>
      <c r="F216" s="35" t="s">
        <v>172</v>
      </c>
      <c r="G216" s="37"/>
      <c r="H216" s="38"/>
      <c r="I216" s="38"/>
      <c r="J216" s="38"/>
      <c r="K216" s="39"/>
      <c r="L216" s="40"/>
      <c r="M216" s="39"/>
      <c r="N216" s="38"/>
      <c r="O216" s="37"/>
    </row>
    <row r="217" ht="22.5" customHeight="1">
      <c r="A217" s="32" t="s">
        <v>696</v>
      </c>
      <c r="B217" s="33"/>
      <c r="C217" s="33" t="s">
        <v>697</v>
      </c>
      <c r="D217" s="34" t="s">
        <v>698</v>
      </c>
      <c r="E217" s="35"/>
      <c r="F217" s="36"/>
      <c r="G217" s="37"/>
      <c r="H217" s="38"/>
      <c r="I217" s="43" t="s">
        <v>19</v>
      </c>
      <c r="J217" s="43" t="s">
        <v>20</v>
      </c>
      <c r="K217" s="39"/>
      <c r="L217" s="40"/>
      <c r="M217" s="39"/>
      <c r="N217" s="38"/>
      <c r="O217" s="32" t="s">
        <v>699</v>
      </c>
    </row>
    <row r="218" ht="22.5" customHeight="1">
      <c r="A218" s="32" t="s">
        <v>700</v>
      </c>
      <c r="B218" s="33"/>
      <c r="C218" s="41"/>
      <c r="D218" s="34" t="s">
        <v>668</v>
      </c>
      <c r="E218" s="35"/>
      <c r="F218" s="35" t="s">
        <v>701</v>
      </c>
      <c r="G218" s="37"/>
      <c r="H218" s="38"/>
      <c r="I218" s="38"/>
      <c r="J218" s="38"/>
      <c r="K218" s="39"/>
      <c r="L218" s="40"/>
      <c r="M218" s="39"/>
      <c r="N218" s="38"/>
      <c r="O218" s="32" t="s">
        <v>702</v>
      </c>
    </row>
    <row r="219" ht="22.5" customHeight="1">
      <c r="A219" s="32"/>
      <c r="B219" s="33"/>
      <c r="C219" s="41"/>
      <c r="D219" s="34" t="s">
        <v>703</v>
      </c>
      <c r="E219" s="35"/>
      <c r="F219" s="36"/>
      <c r="G219" s="37"/>
      <c r="H219" s="38"/>
      <c r="I219" s="38"/>
      <c r="J219" s="38"/>
      <c r="K219" s="39"/>
      <c r="L219" s="40"/>
      <c r="M219" s="39"/>
      <c r="N219" s="38"/>
      <c r="O219" s="37"/>
    </row>
    <row r="220" ht="22.5" customHeight="1">
      <c r="A220" s="32" t="s">
        <v>704</v>
      </c>
      <c r="B220" s="33">
        <v>55.0</v>
      </c>
      <c r="C220" s="41"/>
      <c r="D220" s="34" t="s">
        <v>705</v>
      </c>
      <c r="E220" s="35" t="s">
        <v>706</v>
      </c>
      <c r="F220" s="35" t="s">
        <v>81</v>
      </c>
      <c r="G220" s="37"/>
      <c r="H220" s="38"/>
      <c r="I220" s="38"/>
      <c r="J220" s="38"/>
      <c r="K220" s="39"/>
      <c r="L220" s="40"/>
      <c r="M220" s="39"/>
      <c r="N220" s="38"/>
      <c r="O220" s="37"/>
    </row>
    <row r="221" ht="22.5" customHeight="1">
      <c r="A221" s="32"/>
      <c r="B221" s="33"/>
      <c r="C221" s="41"/>
      <c r="D221" s="34" t="s">
        <v>707</v>
      </c>
      <c r="E221" s="35"/>
      <c r="F221" s="36"/>
      <c r="G221" s="37"/>
      <c r="H221" s="38"/>
      <c r="I221" s="38"/>
      <c r="J221" s="38"/>
      <c r="K221" s="39"/>
      <c r="L221" s="40"/>
      <c r="M221" s="39"/>
      <c r="N221" s="38"/>
      <c r="O221" s="37"/>
    </row>
    <row r="222" ht="22.5" customHeight="1">
      <c r="A222" s="32"/>
      <c r="B222" s="33"/>
      <c r="C222" s="41"/>
      <c r="D222" s="34" t="s">
        <v>708</v>
      </c>
      <c r="E222" s="35"/>
      <c r="F222" s="36"/>
      <c r="G222" s="37"/>
      <c r="H222" s="38"/>
      <c r="I222" s="38"/>
      <c r="J222" s="38"/>
      <c r="K222" s="39"/>
      <c r="L222" s="40"/>
      <c r="M222" s="39"/>
      <c r="N222" s="38"/>
      <c r="O222" s="37"/>
    </row>
    <row r="223" ht="22.5" customHeight="1">
      <c r="A223" s="32"/>
      <c r="B223" s="33"/>
      <c r="C223" s="41"/>
      <c r="D223" s="34" t="s">
        <v>709</v>
      </c>
      <c r="E223" s="35"/>
      <c r="F223" s="36"/>
      <c r="G223" s="37"/>
      <c r="H223" s="38"/>
      <c r="I223" s="38"/>
      <c r="J223" s="38"/>
      <c r="K223" s="39"/>
      <c r="L223" s="40"/>
      <c r="M223" s="39"/>
      <c r="N223" s="38"/>
      <c r="O223" s="37"/>
    </row>
    <row r="224" ht="22.5" customHeight="1">
      <c r="A224" s="32"/>
      <c r="B224" s="33"/>
      <c r="C224" s="41"/>
      <c r="D224" s="34" t="s">
        <v>710</v>
      </c>
      <c r="E224" s="35"/>
      <c r="F224" s="36"/>
      <c r="G224" s="37"/>
      <c r="H224" s="38"/>
      <c r="I224" s="38"/>
      <c r="J224" s="38"/>
      <c r="K224" s="39"/>
      <c r="L224" s="40"/>
      <c r="M224" s="39"/>
      <c r="N224" s="38"/>
      <c r="O224" s="37"/>
    </row>
    <row r="225" ht="22.5" customHeight="1">
      <c r="A225" s="32" t="s">
        <v>711</v>
      </c>
      <c r="B225" s="33"/>
      <c r="C225" s="41"/>
      <c r="D225" s="34" t="s">
        <v>712</v>
      </c>
      <c r="E225" s="35"/>
      <c r="F225" s="36"/>
      <c r="G225" s="37"/>
      <c r="H225" s="38"/>
      <c r="I225" s="38"/>
      <c r="J225" s="38"/>
      <c r="K225" s="39"/>
      <c r="L225" s="40"/>
      <c r="M225" s="39"/>
      <c r="N225" s="38"/>
      <c r="O225" s="37"/>
    </row>
    <row r="226" ht="22.5" customHeight="1">
      <c r="A226" s="32"/>
      <c r="B226" s="33"/>
      <c r="C226" s="41"/>
      <c r="D226" s="34" t="s">
        <v>713</v>
      </c>
      <c r="E226" s="35"/>
      <c r="F226" s="36"/>
      <c r="G226" s="37"/>
      <c r="H226" s="38"/>
      <c r="I226" s="38"/>
      <c r="J226" s="38"/>
      <c r="K226" s="39"/>
      <c r="L226" s="40"/>
      <c r="M226" s="39"/>
      <c r="N226" s="38"/>
      <c r="O226" s="37"/>
    </row>
    <row r="227" ht="22.5" customHeight="1">
      <c r="A227" s="32"/>
      <c r="B227" s="33">
        <v>63.0</v>
      </c>
      <c r="C227" s="41"/>
      <c r="D227" s="34" t="s">
        <v>714</v>
      </c>
      <c r="E227" s="35" t="s">
        <v>715</v>
      </c>
      <c r="F227" s="36"/>
      <c r="G227" s="37"/>
      <c r="H227" s="38"/>
      <c r="I227" s="38"/>
      <c r="J227" s="38"/>
      <c r="K227" s="39"/>
      <c r="L227" s="42">
        <v>46160.0</v>
      </c>
      <c r="M227" s="39"/>
      <c r="N227" s="38"/>
      <c r="O227" s="37"/>
    </row>
    <row r="228" ht="22.5" customHeight="1">
      <c r="A228" s="32"/>
      <c r="B228" s="33"/>
      <c r="C228" s="41"/>
      <c r="D228" s="34" t="s">
        <v>716</v>
      </c>
      <c r="E228" s="35"/>
      <c r="F228" s="36"/>
      <c r="G228" s="37"/>
      <c r="H228" s="38"/>
      <c r="I228" s="38"/>
      <c r="J228" s="38"/>
      <c r="K228" s="39"/>
      <c r="L228" s="40"/>
      <c r="M228" s="39"/>
      <c r="N228" s="38"/>
      <c r="O228" s="37"/>
    </row>
    <row r="229" ht="22.5" customHeight="1">
      <c r="A229" s="32" t="s">
        <v>717</v>
      </c>
      <c r="B229" s="33"/>
      <c r="C229" s="41"/>
      <c r="D229" s="34" t="s">
        <v>718</v>
      </c>
      <c r="E229" s="35"/>
      <c r="F229" s="35" t="s">
        <v>719</v>
      </c>
      <c r="G229" s="32" t="s">
        <v>720</v>
      </c>
      <c r="H229" s="38"/>
      <c r="I229" s="38"/>
      <c r="J229" s="38"/>
      <c r="K229" s="39"/>
      <c r="L229" s="40"/>
      <c r="M229" s="39"/>
      <c r="N229" s="38"/>
      <c r="O229" s="37"/>
    </row>
    <row r="230" ht="22.5" customHeight="1">
      <c r="A230" s="32" t="s">
        <v>721</v>
      </c>
      <c r="B230" s="33"/>
      <c r="C230" s="41"/>
      <c r="D230" s="34" t="s">
        <v>722</v>
      </c>
      <c r="E230" s="35"/>
      <c r="F230" s="35" t="s">
        <v>172</v>
      </c>
      <c r="G230" s="37"/>
      <c r="H230" s="38"/>
      <c r="I230" s="43" t="s">
        <v>106</v>
      </c>
      <c r="J230" s="38"/>
      <c r="K230" s="39"/>
      <c r="L230" s="40"/>
      <c r="M230" s="39"/>
      <c r="N230" s="38"/>
      <c r="O230" s="37"/>
    </row>
    <row r="231" ht="22.5" customHeight="1">
      <c r="A231" s="32"/>
      <c r="B231" s="33">
        <v>55.0</v>
      </c>
      <c r="C231" s="41"/>
      <c r="D231" s="34" t="s">
        <v>723</v>
      </c>
      <c r="E231" s="35"/>
      <c r="F231" s="36"/>
      <c r="G231" s="37"/>
      <c r="H231" s="38"/>
      <c r="I231" s="38"/>
      <c r="J231" s="38"/>
      <c r="K231" s="39"/>
      <c r="L231" s="40"/>
      <c r="M231" s="39"/>
      <c r="N231" s="38"/>
      <c r="O231" s="37"/>
    </row>
    <row r="232" ht="22.5" customHeight="1">
      <c r="A232" s="32"/>
      <c r="B232" s="33"/>
      <c r="C232" s="41"/>
      <c r="D232" s="34" t="s">
        <v>724</v>
      </c>
      <c r="E232" s="35"/>
      <c r="F232" s="36"/>
      <c r="G232" s="37"/>
      <c r="H232" s="38"/>
      <c r="I232" s="38"/>
      <c r="J232" s="38"/>
      <c r="K232" s="39"/>
      <c r="L232" s="40"/>
      <c r="M232" s="39"/>
      <c r="N232" s="38"/>
      <c r="O232" s="37"/>
    </row>
    <row r="233" ht="22.5" customHeight="1">
      <c r="A233" s="32"/>
      <c r="B233" s="33"/>
      <c r="C233" s="41"/>
      <c r="D233" s="34" t="s">
        <v>725</v>
      </c>
      <c r="E233" s="35"/>
      <c r="F233" s="36"/>
      <c r="G233" s="32" t="s">
        <v>726</v>
      </c>
      <c r="H233" s="38"/>
      <c r="I233" s="38"/>
      <c r="J233" s="38"/>
      <c r="K233" s="39"/>
      <c r="L233" s="40"/>
      <c r="M233" s="39"/>
      <c r="N233" s="38"/>
      <c r="O233" s="37"/>
    </row>
    <row r="234" ht="22.5" customHeight="1">
      <c r="A234" s="32" t="s">
        <v>727</v>
      </c>
      <c r="B234" s="33">
        <v>66.0</v>
      </c>
      <c r="C234" s="41"/>
      <c r="D234" s="34" t="s">
        <v>728</v>
      </c>
      <c r="E234" s="35" t="s">
        <v>729</v>
      </c>
      <c r="F234" s="36"/>
      <c r="G234" s="37"/>
      <c r="H234" s="38"/>
      <c r="I234" s="38"/>
      <c r="J234" s="38"/>
      <c r="K234" s="39"/>
      <c r="L234" s="40"/>
      <c r="M234" s="39"/>
      <c r="N234" s="38"/>
      <c r="O234" s="37"/>
    </row>
    <row r="235" ht="22.5" customHeight="1">
      <c r="A235" s="32"/>
      <c r="B235" s="33"/>
      <c r="C235" s="41"/>
      <c r="D235" s="34" t="s">
        <v>730</v>
      </c>
      <c r="E235" s="35"/>
      <c r="F235" s="35" t="s">
        <v>731</v>
      </c>
      <c r="G235" s="37"/>
      <c r="H235" s="38"/>
      <c r="I235" s="38"/>
      <c r="J235" s="38"/>
      <c r="K235" s="39"/>
      <c r="L235" s="40"/>
      <c r="M235" s="39"/>
      <c r="N235" s="38"/>
      <c r="O235" s="37"/>
    </row>
    <row r="236" ht="22.5" customHeight="1">
      <c r="A236" s="32"/>
      <c r="B236" s="33">
        <v>45.0</v>
      </c>
      <c r="C236" s="41"/>
      <c r="D236" s="34" t="s">
        <v>732</v>
      </c>
      <c r="E236" s="35" t="s">
        <v>733</v>
      </c>
      <c r="F236" s="36"/>
      <c r="G236" s="37"/>
      <c r="H236" s="38"/>
      <c r="I236" s="38"/>
      <c r="J236" s="38"/>
      <c r="K236" s="39"/>
      <c r="L236" s="40"/>
      <c r="M236" s="39"/>
      <c r="N236" s="38"/>
      <c r="O236" s="37"/>
    </row>
    <row r="237" ht="22.5" customHeight="1">
      <c r="A237" s="32"/>
      <c r="B237" s="33">
        <v>56.0</v>
      </c>
      <c r="C237" s="41"/>
      <c r="D237" s="34" t="s">
        <v>734</v>
      </c>
      <c r="E237" s="35"/>
      <c r="F237" s="36"/>
      <c r="G237" s="37"/>
      <c r="H237" s="38"/>
      <c r="I237" s="38"/>
      <c r="J237" s="38"/>
      <c r="K237" s="39"/>
      <c r="L237" s="40"/>
      <c r="M237" s="39"/>
      <c r="N237" s="38"/>
      <c r="O237" s="37"/>
    </row>
    <row r="238" ht="22.5" customHeight="1">
      <c r="A238" s="32" t="s">
        <v>735</v>
      </c>
      <c r="B238" s="33">
        <v>70.0</v>
      </c>
      <c r="C238" s="33" t="s">
        <v>397</v>
      </c>
      <c r="D238" s="34" t="s">
        <v>736</v>
      </c>
      <c r="E238" s="35" t="s">
        <v>737</v>
      </c>
      <c r="F238" s="35" t="s">
        <v>464</v>
      </c>
      <c r="G238" s="44" t="s">
        <v>42</v>
      </c>
      <c r="H238" s="38"/>
      <c r="I238" s="38"/>
      <c r="J238" s="38"/>
      <c r="K238" s="39"/>
      <c r="L238" s="40"/>
      <c r="M238" s="39"/>
      <c r="N238" s="38"/>
      <c r="O238" s="37"/>
    </row>
    <row r="239" ht="22.5" customHeight="1">
      <c r="A239" s="32"/>
      <c r="B239" s="33"/>
      <c r="C239" s="41"/>
      <c r="D239" s="34" t="s">
        <v>738</v>
      </c>
      <c r="E239" s="35"/>
      <c r="F239" s="36"/>
      <c r="G239" s="37"/>
      <c r="H239" s="38"/>
      <c r="I239" s="38"/>
      <c r="J239" s="38"/>
      <c r="K239" s="39"/>
      <c r="L239" s="40"/>
      <c r="M239" s="39"/>
      <c r="N239" s="38"/>
      <c r="O239" s="37"/>
    </row>
    <row r="240" ht="22.5" customHeight="1">
      <c r="A240" s="32"/>
      <c r="B240" s="33">
        <v>59.0</v>
      </c>
      <c r="C240" s="41"/>
      <c r="D240" s="34" t="s">
        <v>739</v>
      </c>
      <c r="E240" s="35" t="s">
        <v>740</v>
      </c>
      <c r="F240" s="36"/>
      <c r="G240" s="37"/>
      <c r="H240" s="38"/>
      <c r="I240" s="38"/>
      <c r="J240" s="38"/>
      <c r="K240" s="39"/>
      <c r="L240" s="40"/>
      <c r="M240" s="39"/>
      <c r="N240" s="38"/>
      <c r="O240" s="37"/>
    </row>
    <row r="241" ht="22.5" customHeight="1">
      <c r="A241" s="32"/>
      <c r="B241" s="33"/>
      <c r="C241" s="41"/>
      <c r="D241" s="34" t="s">
        <v>741</v>
      </c>
      <c r="E241" s="35"/>
      <c r="F241" s="36"/>
      <c r="G241" s="37"/>
      <c r="H241" s="38"/>
      <c r="I241" s="38"/>
      <c r="J241" s="38"/>
      <c r="K241" s="39"/>
      <c r="L241" s="40"/>
      <c r="M241" s="39"/>
      <c r="N241" s="38"/>
      <c r="O241" s="37"/>
    </row>
    <row r="242" ht="22.5" customHeight="1">
      <c r="A242" s="32"/>
      <c r="B242" s="33"/>
      <c r="C242" s="41"/>
      <c r="D242" s="34" t="s">
        <v>742</v>
      </c>
      <c r="E242" s="35"/>
      <c r="F242" s="36"/>
      <c r="G242" s="37"/>
      <c r="H242" s="38"/>
      <c r="I242" s="38"/>
      <c r="J242" s="38"/>
      <c r="K242" s="39"/>
      <c r="L242" s="40"/>
      <c r="M242" s="39"/>
      <c r="N242" s="38"/>
      <c r="O242" s="37"/>
    </row>
    <row r="243" ht="22.5" customHeight="1">
      <c r="A243" s="32"/>
      <c r="B243" s="33"/>
      <c r="C243" s="41"/>
      <c r="D243" s="34" t="s">
        <v>743</v>
      </c>
      <c r="E243" s="35"/>
      <c r="F243" s="36"/>
      <c r="G243" s="37"/>
      <c r="H243" s="38"/>
      <c r="I243" s="38"/>
      <c r="J243" s="38"/>
      <c r="K243" s="39"/>
      <c r="L243" s="40"/>
      <c r="M243" s="39"/>
      <c r="N243" s="38"/>
      <c r="O243" s="37"/>
    </row>
    <row r="244" ht="22.5" customHeight="1">
      <c r="A244" s="32"/>
      <c r="B244" s="33"/>
      <c r="C244" s="41"/>
      <c r="D244" s="34" t="s">
        <v>744</v>
      </c>
      <c r="E244" s="35"/>
      <c r="F244" s="36"/>
      <c r="G244" s="37"/>
      <c r="H244" s="38"/>
      <c r="I244" s="38"/>
      <c r="J244" s="38"/>
      <c r="K244" s="39"/>
      <c r="L244" s="40"/>
      <c r="M244" s="39"/>
      <c r="N244" s="38"/>
      <c r="O244" s="37"/>
    </row>
    <row r="245" ht="22.5" customHeight="1">
      <c r="A245" s="32"/>
      <c r="B245" s="33"/>
      <c r="C245" s="41"/>
      <c r="D245" s="34" t="s">
        <v>745</v>
      </c>
      <c r="E245" s="35"/>
      <c r="F245" s="35" t="s">
        <v>172</v>
      </c>
      <c r="G245" s="37"/>
      <c r="H245" s="38"/>
      <c r="I245" s="38"/>
      <c r="J245" s="38"/>
      <c r="K245" s="39"/>
      <c r="L245" s="40"/>
      <c r="M245" s="39"/>
      <c r="N245" s="38"/>
      <c r="O245" s="37"/>
    </row>
    <row r="246" ht="22.5" customHeight="1">
      <c r="A246" s="32"/>
      <c r="B246" s="33"/>
      <c r="C246" s="41"/>
      <c r="D246" s="34" t="s">
        <v>746</v>
      </c>
      <c r="E246" s="35"/>
      <c r="F246" s="36"/>
      <c r="G246" s="37"/>
      <c r="H246" s="38"/>
      <c r="I246" s="38"/>
      <c r="J246" s="38"/>
      <c r="K246" s="39"/>
      <c r="L246" s="40"/>
      <c r="M246" s="39"/>
      <c r="N246" s="38"/>
      <c r="O246" s="37"/>
    </row>
    <row r="247" ht="22.5" customHeight="1">
      <c r="A247" s="32"/>
      <c r="B247" s="33"/>
      <c r="C247" s="41"/>
      <c r="D247" s="34" t="s">
        <v>747</v>
      </c>
      <c r="E247" s="35"/>
      <c r="F247" s="36"/>
      <c r="G247" s="37"/>
      <c r="H247" s="38"/>
      <c r="I247" s="38"/>
      <c r="J247" s="38"/>
      <c r="K247" s="39"/>
      <c r="L247" s="40"/>
      <c r="M247" s="39"/>
      <c r="N247" s="38"/>
      <c r="O247" s="37"/>
    </row>
    <row r="248" ht="22.5" customHeight="1">
      <c r="A248" s="32" t="s">
        <v>748</v>
      </c>
      <c r="B248" s="33"/>
      <c r="C248" s="41"/>
      <c r="D248" s="34" t="s">
        <v>749</v>
      </c>
      <c r="E248" s="35"/>
      <c r="F248" s="36"/>
      <c r="G248" s="37"/>
      <c r="H248" s="38"/>
      <c r="I248" s="38"/>
      <c r="J248" s="38"/>
      <c r="K248" s="39"/>
      <c r="L248" s="40"/>
      <c r="M248" s="39"/>
      <c r="N248" s="38"/>
      <c r="O248" s="37"/>
    </row>
    <row r="249" ht="22.5" customHeight="1">
      <c r="A249" s="32" t="s">
        <v>750</v>
      </c>
      <c r="B249" s="33">
        <v>56.0</v>
      </c>
      <c r="C249" s="41"/>
      <c r="D249" s="34" t="s">
        <v>751</v>
      </c>
      <c r="E249" s="35" t="s">
        <v>752</v>
      </c>
      <c r="F249" s="36"/>
      <c r="G249" s="37"/>
      <c r="H249" s="38"/>
      <c r="I249" s="38"/>
      <c r="J249" s="38"/>
      <c r="K249" s="39"/>
      <c r="L249" s="40"/>
      <c r="M249" s="39"/>
      <c r="N249" s="38"/>
      <c r="O249" s="37"/>
    </row>
    <row r="250" ht="22.5" customHeight="1">
      <c r="A250" s="32" t="s">
        <v>753</v>
      </c>
      <c r="B250" s="33"/>
      <c r="C250" s="41"/>
      <c r="D250" s="34" t="s">
        <v>754</v>
      </c>
      <c r="E250" s="35"/>
      <c r="F250" s="36"/>
      <c r="G250" s="37"/>
      <c r="H250" s="38"/>
      <c r="I250" s="38"/>
      <c r="J250" s="38"/>
      <c r="K250" s="39"/>
      <c r="L250" s="40"/>
      <c r="M250" s="39"/>
      <c r="N250" s="38"/>
      <c r="O250" s="37"/>
    </row>
    <row r="251" ht="22.5" customHeight="1">
      <c r="A251" s="32" t="s">
        <v>755</v>
      </c>
      <c r="B251" s="33"/>
      <c r="C251" s="41"/>
      <c r="D251" s="34" t="s">
        <v>756</v>
      </c>
      <c r="E251" s="35"/>
      <c r="F251" s="36"/>
      <c r="G251" s="37"/>
      <c r="H251" s="38"/>
      <c r="I251" s="38"/>
      <c r="J251" s="38"/>
      <c r="K251" s="39"/>
      <c r="L251" s="40"/>
      <c r="M251" s="39"/>
      <c r="N251" s="38"/>
      <c r="O251" s="37"/>
    </row>
    <row r="252" ht="22.5" customHeight="1">
      <c r="A252" s="32"/>
      <c r="B252" s="33"/>
      <c r="C252" s="33" t="s">
        <v>44</v>
      </c>
      <c r="D252" s="34" t="s">
        <v>757</v>
      </c>
      <c r="E252" s="35"/>
      <c r="F252" s="36"/>
      <c r="G252" s="37"/>
      <c r="H252" s="38"/>
      <c r="I252" s="43" t="s">
        <v>19</v>
      </c>
      <c r="J252" s="43" t="s">
        <v>20</v>
      </c>
      <c r="K252" s="39"/>
      <c r="L252" s="40"/>
      <c r="M252" s="39"/>
      <c r="N252" s="38"/>
      <c r="O252" s="32" t="s">
        <v>424</v>
      </c>
    </row>
    <row r="253" ht="22.5" customHeight="1">
      <c r="A253" s="32"/>
      <c r="B253" s="33"/>
      <c r="C253" s="41"/>
      <c r="D253" s="34" t="s">
        <v>758</v>
      </c>
      <c r="E253" s="35"/>
      <c r="F253" s="36"/>
      <c r="G253" s="37"/>
      <c r="H253" s="38"/>
      <c r="I253" s="38"/>
      <c r="J253" s="38"/>
      <c r="K253" s="39"/>
      <c r="L253" s="40"/>
      <c r="M253" s="39"/>
      <c r="N253" s="38"/>
      <c r="O253" s="37"/>
    </row>
    <row r="254" ht="22.5" customHeight="1">
      <c r="A254" s="32" t="s">
        <v>759</v>
      </c>
      <c r="B254" s="33"/>
      <c r="C254" s="41"/>
      <c r="D254" s="34" t="s">
        <v>760</v>
      </c>
      <c r="E254" s="35"/>
      <c r="F254" s="36"/>
      <c r="G254" s="37"/>
      <c r="H254" s="38"/>
      <c r="I254" s="38"/>
      <c r="J254" s="38"/>
      <c r="K254" s="39"/>
      <c r="L254" s="40"/>
      <c r="M254" s="39"/>
      <c r="N254" s="38"/>
      <c r="O254" s="37"/>
    </row>
    <row r="255" ht="22.5" customHeight="1">
      <c r="A255" s="32" t="s">
        <v>761</v>
      </c>
      <c r="B255" s="33"/>
      <c r="C255" s="41"/>
      <c r="D255" s="34" t="s">
        <v>762</v>
      </c>
      <c r="E255" s="35"/>
      <c r="F255" s="36"/>
      <c r="G255" s="37"/>
      <c r="H255" s="38"/>
      <c r="I255" s="38"/>
      <c r="J255" s="38"/>
      <c r="K255" s="39"/>
      <c r="L255" s="40"/>
      <c r="M255" s="39"/>
      <c r="N255" s="38"/>
      <c r="O255" s="37"/>
    </row>
    <row r="256" ht="22.5" customHeight="1">
      <c r="A256" s="32" t="s">
        <v>763</v>
      </c>
      <c r="B256" s="33"/>
      <c r="C256" s="41"/>
      <c r="D256" s="34" t="s">
        <v>764</v>
      </c>
      <c r="E256" s="35"/>
      <c r="F256" s="36"/>
      <c r="G256" s="37"/>
      <c r="H256" s="38"/>
      <c r="I256" s="38"/>
      <c r="J256" s="38"/>
      <c r="K256" s="39"/>
      <c r="L256" s="40"/>
      <c r="M256" s="39"/>
      <c r="N256" s="38"/>
      <c r="O256" s="37"/>
    </row>
    <row r="257" ht="22.5" customHeight="1">
      <c r="A257" s="32"/>
      <c r="B257" s="33"/>
      <c r="C257" s="41"/>
      <c r="D257" s="34" t="s">
        <v>765</v>
      </c>
      <c r="E257" s="35"/>
      <c r="F257" s="36"/>
      <c r="G257" s="37"/>
      <c r="H257" s="38"/>
      <c r="I257" s="38"/>
      <c r="J257" s="38"/>
      <c r="K257" s="39"/>
      <c r="L257" s="40"/>
      <c r="M257" s="39"/>
      <c r="N257" s="38"/>
      <c r="O257" s="37"/>
    </row>
    <row r="258" ht="22.5" customHeight="1">
      <c r="A258" s="32" t="s">
        <v>766</v>
      </c>
      <c r="B258" s="33">
        <v>72.0</v>
      </c>
      <c r="C258" s="41"/>
      <c r="D258" s="34" t="s">
        <v>767</v>
      </c>
      <c r="E258" s="35" t="s">
        <v>626</v>
      </c>
      <c r="F258" s="36"/>
      <c r="G258" s="44" t="s">
        <v>42</v>
      </c>
      <c r="H258" s="38"/>
      <c r="I258" s="38"/>
      <c r="J258" s="38"/>
      <c r="K258" s="39"/>
      <c r="L258" s="40"/>
      <c r="M258" s="39"/>
      <c r="N258" s="38"/>
      <c r="O258" s="37"/>
    </row>
    <row r="259" ht="22.5" customHeight="1">
      <c r="A259" s="32" t="s">
        <v>768</v>
      </c>
      <c r="B259" s="33">
        <v>74.0</v>
      </c>
      <c r="C259" s="41"/>
      <c r="D259" s="34" t="s">
        <v>769</v>
      </c>
      <c r="E259" s="35" t="s">
        <v>770</v>
      </c>
      <c r="F259" s="36"/>
      <c r="G259" s="37"/>
      <c r="H259" s="38"/>
      <c r="I259" s="38"/>
      <c r="J259" s="38"/>
      <c r="K259" s="39"/>
      <c r="L259" s="40"/>
      <c r="M259" s="39"/>
      <c r="N259" s="38"/>
      <c r="O259" s="37"/>
    </row>
    <row r="260" ht="22.5" customHeight="1">
      <c r="A260" s="32" t="s">
        <v>771</v>
      </c>
      <c r="B260" s="33">
        <v>60.0</v>
      </c>
      <c r="C260" s="33" t="s">
        <v>772</v>
      </c>
      <c r="D260" s="34" t="s">
        <v>773</v>
      </c>
      <c r="E260" s="35" t="s">
        <v>774</v>
      </c>
      <c r="F260" s="36"/>
      <c r="G260" s="37"/>
      <c r="H260" s="38"/>
      <c r="I260" s="38"/>
      <c r="J260" s="38"/>
      <c r="K260" s="39"/>
      <c r="L260" s="40"/>
      <c r="M260" s="39"/>
      <c r="N260" s="38"/>
      <c r="O260" s="37"/>
    </row>
    <row r="261" ht="22.5" customHeight="1">
      <c r="A261" s="32" t="s">
        <v>775</v>
      </c>
      <c r="B261" s="33">
        <v>56.0</v>
      </c>
      <c r="C261" s="33" t="s">
        <v>776</v>
      </c>
      <c r="D261" s="34" t="s">
        <v>777</v>
      </c>
      <c r="E261" s="35" t="s">
        <v>778</v>
      </c>
      <c r="F261" s="36"/>
      <c r="G261" s="37"/>
      <c r="H261" s="38"/>
      <c r="I261" s="38"/>
      <c r="J261" s="38"/>
      <c r="K261" s="39"/>
      <c r="L261" s="40"/>
      <c r="M261" s="39"/>
      <c r="N261" s="38"/>
      <c r="O261" s="37"/>
    </row>
    <row r="262" ht="22.5" customHeight="1">
      <c r="A262" s="32"/>
      <c r="B262" s="33"/>
      <c r="C262" s="41"/>
      <c r="D262" s="34" t="s">
        <v>779</v>
      </c>
      <c r="E262" s="35"/>
      <c r="F262" s="36"/>
      <c r="G262" s="37"/>
      <c r="H262" s="38"/>
      <c r="I262" s="38"/>
      <c r="J262" s="38"/>
      <c r="K262" s="39"/>
      <c r="L262" s="40"/>
      <c r="M262" s="39"/>
      <c r="N262" s="38"/>
      <c r="O262" s="37"/>
    </row>
    <row r="263" ht="22.5" customHeight="1">
      <c r="A263" s="32" t="s">
        <v>780</v>
      </c>
      <c r="B263" s="33"/>
      <c r="C263" s="41"/>
      <c r="D263" s="34" t="s">
        <v>781</v>
      </c>
      <c r="E263" s="35" t="s">
        <v>782</v>
      </c>
      <c r="F263" s="36"/>
      <c r="G263" s="37"/>
      <c r="H263" s="38"/>
      <c r="I263" s="38"/>
      <c r="J263" s="38"/>
      <c r="K263" s="39"/>
      <c r="L263" s="40"/>
      <c r="M263" s="39"/>
      <c r="N263" s="38"/>
      <c r="O263" s="37"/>
    </row>
    <row r="264" ht="22.5" customHeight="1">
      <c r="A264" s="32"/>
      <c r="B264" s="33">
        <v>67.0</v>
      </c>
      <c r="C264" s="41"/>
      <c r="D264" s="34" t="s">
        <v>783</v>
      </c>
      <c r="E264" s="35" t="s">
        <v>784</v>
      </c>
      <c r="F264" s="36"/>
      <c r="G264" s="37"/>
      <c r="H264" s="38"/>
      <c r="I264" s="43" t="s">
        <v>34</v>
      </c>
      <c r="J264" s="43" t="s">
        <v>35</v>
      </c>
      <c r="K264" s="39"/>
      <c r="L264" s="40"/>
      <c r="M264" s="39"/>
      <c r="N264" s="38"/>
      <c r="O264" s="32" t="s">
        <v>785</v>
      </c>
    </row>
    <row r="265" ht="22.5" customHeight="1">
      <c r="A265" s="32"/>
      <c r="B265" s="33">
        <v>68.0</v>
      </c>
      <c r="C265" s="41"/>
      <c r="D265" s="34" t="s">
        <v>786</v>
      </c>
      <c r="E265" s="35" t="s">
        <v>787</v>
      </c>
      <c r="F265" s="36"/>
      <c r="G265" s="37"/>
      <c r="H265" s="38"/>
      <c r="I265" s="38"/>
      <c r="J265" s="38"/>
      <c r="K265" s="39"/>
      <c r="L265" s="40"/>
      <c r="M265" s="39"/>
      <c r="N265" s="38"/>
      <c r="O265" s="37"/>
    </row>
    <row r="266" ht="22.5" customHeight="1">
      <c r="A266" s="32"/>
      <c r="B266" s="33"/>
      <c r="C266" s="41"/>
      <c r="D266" s="34" t="s">
        <v>788</v>
      </c>
      <c r="E266" s="35"/>
      <c r="F266" s="36"/>
      <c r="G266" s="37"/>
      <c r="H266" s="38"/>
      <c r="I266" s="38"/>
      <c r="J266" s="38"/>
      <c r="K266" s="39"/>
      <c r="L266" s="40"/>
      <c r="M266" s="39"/>
      <c r="N266" s="38"/>
      <c r="O266" s="37"/>
    </row>
    <row r="267" ht="22.5" customHeight="1">
      <c r="A267" s="32" t="s">
        <v>789</v>
      </c>
      <c r="B267" s="33"/>
      <c r="C267" s="41"/>
      <c r="D267" s="34" t="s">
        <v>790</v>
      </c>
      <c r="E267" s="35"/>
      <c r="F267" s="36"/>
      <c r="G267" s="37"/>
      <c r="H267" s="38"/>
      <c r="I267" s="38"/>
      <c r="J267" s="38"/>
      <c r="K267" s="39"/>
      <c r="L267" s="40"/>
      <c r="M267" s="39"/>
      <c r="N267" s="38"/>
      <c r="O267" s="37"/>
    </row>
    <row r="268" ht="22.5" customHeight="1">
      <c r="A268" s="32"/>
      <c r="B268" s="33"/>
      <c r="C268" s="41"/>
      <c r="D268" s="34" t="s">
        <v>791</v>
      </c>
      <c r="E268" s="35"/>
      <c r="F268" s="36"/>
      <c r="G268" s="37"/>
      <c r="H268" s="38"/>
      <c r="I268" s="38"/>
      <c r="J268" s="38"/>
      <c r="K268" s="39"/>
      <c r="L268" s="40"/>
      <c r="M268" s="39"/>
      <c r="N268" s="38"/>
      <c r="O268" s="37"/>
    </row>
    <row r="269" ht="22.5" customHeight="1">
      <c r="A269" s="32"/>
      <c r="B269" s="33"/>
      <c r="C269" s="41"/>
      <c r="D269" s="34" t="s">
        <v>792</v>
      </c>
      <c r="E269" s="35"/>
      <c r="F269" s="36"/>
      <c r="G269" s="37"/>
      <c r="H269" s="38"/>
      <c r="I269" s="38"/>
      <c r="J269" s="38"/>
      <c r="K269" s="39"/>
      <c r="L269" s="40"/>
      <c r="M269" s="39"/>
      <c r="N269" s="38"/>
      <c r="O269" s="37"/>
    </row>
    <row r="270" ht="22.5" customHeight="1">
      <c r="A270" s="32" t="s">
        <v>793</v>
      </c>
      <c r="B270" s="33">
        <v>62.0</v>
      </c>
      <c r="C270" s="41"/>
      <c r="D270" s="34" t="s">
        <v>794</v>
      </c>
      <c r="E270" s="35" t="s">
        <v>795</v>
      </c>
      <c r="F270" s="35" t="s">
        <v>796</v>
      </c>
      <c r="G270" s="32" t="s">
        <v>797</v>
      </c>
      <c r="H270" s="38"/>
      <c r="I270" s="38"/>
      <c r="J270" s="38"/>
      <c r="K270" s="39"/>
      <c r="L270" s="40"/>
      <c r="M270" s="39"/>
      <c r="N270" s="38"/>
      <c r="O270" s="37"/>
    </row>
    <row r="271" ht="22.5" customHeight="1">
      <c r="A271" s="32" t="s">
        <v>798</v>
      </c>
      <c r="B271" s="33">
        <v>70.0</v>
      </c>
      <c r="C271" s="33" t="s">
        <v>799</v>
      </c>
      <c r="D271" s="34" t="s">
        <v>800</v>
      </c>
      <c r="E271" s="35" t="s">
        <v>801</v>
      </c>
      <c r="F271" s="36"/>
      <c r="G271" s="44" t="s">
        <v>42</v>
      </c>
      <c r="H271" s="38"/>
      <c r="I271" s="38"/>
      <c r="J271" s="38"/>
      <c r="K271" s="39"/>
      <c r="L271" s="40"/>
      <c r="M271" s="39"/>
      <c r="N271" s="38"/>
      <c r="O271" s="37"/>
    </row>
    <row r="272" ht="22.5" customHeight="1">
      <c r="A272" s="32"/>
      <c r="B272" s="33"/>
      <c r="C272" s="41"/>
      <c r="D272" s="34" t="s">
        <v>802</v>
      </c>
      <c r="E272" s="35"/>
      <c r="F272" s="36"/>
      <c r="G272" s="37"/>
      <c r="H272" s="38"/>
      <c r="I272" s="38"/>
      <c r="J272" s="38"/>
      <c r="K272" s="39"/>
      <c r="L272" s="40"/>
      <c r="M272" s="39"/>
      <c r="N272" s="38"/>
      <c r="O272" s="37"/>
    </row>
    <row r="273" ht="22.5" customHeight="1">
      <c r="A273" s="32" t="s">
        <v>803</v>
      </c>
      <c r="B273" s="33"/>
      <c r="C273" s="41"/>
      <c r="D273" s="34" t="s">
        <v>804</v>
      </c>
      <c r="E273" s="35"/>
      <c r="F273" s="36"/>
      <c r="G273" s="37"/>
      <c r="H273" s="38"/>
      <c r="I273" s="38"/>
      <c r="J273" s="38"/>
      <c r="K273" s="39"/>
      <c r="L273" s="40"/>
      <c r="M273" s="39"/>
      <c r="N273" s="38"/>
      <c r="O273" s="37"/>
    </row>
    <row r="274" ht="22.5" customHeight="1">
      <c r="A274" s="32" t="s">
        <v>805</v>
      </c>
      <c r="B274" s="33">
        <v>61.0</v>
      </c>
      <c r="C274" s="33" t="s">
        <v>806</v>
      </c>
      <c r="D274" s="34" t="s">
        <v>807</v>
      </c>
      <c r="E274" s="35" t="s">
        <v>808</v>
      </c>
      <c r="F274" s="36"/>
      <c r="G274" s="37"/>
      <c r="H274" s="38"/>
      <c r="I274" s="38"/>
      <c r="J274" s="38"/>
      <c r="K274" s="39"/>
      <c r="L274" s="40"/>
      <c r="M274" s="39"/>
      <c r="N274" s="38"/>
      <c r="O274" s="37"/>
    </row>
    <row r="275" ht="22.5" customHeight="1">
      <c r="A275" s="32" t="s">
        <v>809</v>
      </c>
      <c r="B275" s="33">
        <v>53.0</v>
      </c>
      <c r="C275" s="41"/>
      <c r="D275" s="34" t="s">
        <v>810</v>
      </c>
      <c r="E275" s="35" t="s">
        <v>811</v>
      </c>
      <c r="F275" s="36"/>
      <c r="G275" s="32" t="s">
        <v>812</v>
      </c>
      <c r="H275" s="38"/>
      <c r="I275" s="38"/>
      <c r="J275" s="38"/>
      <c r="K275" s="39"/>
      <c r="L275" s="40"/>
      <c r="M275" s="39"/>
      <c r="N275" s="38"/>
      <c r="O275" s="37"/>
    </row>
    <row r="276" ht="22.5" customHeight="1">
      <c r="A276" s="32" t="s">
        <v>813</v>
      </c>
      <c r="B276" s="33">
        <v>68.0</v>
      </c>
      <c r="C276" s="41"/>
      <c r="D276" s="34" t="s">
        <v>814</v>
      </c>
      <c r="E276" s="35" t="s">
        <v>815</v>
      </c>
      <c r="F276" s="36"/>
      <c r="G276" s="37"/>
      <c r="H276" s="38"/>
      <c r="I276" s="38"/>
      <c r="J276" s="38"/>
      <c r="K276" s="39"/>
      <c r="L276" s="40"/>
      <c r="M276" s="39"/>
      <c r="N276" s="38"/>
      <c r="O276" s="37"/>
    </row>
    <row r="277" ht="22.5" customHeight="1">
      <c r="A277" s="32" t="s">
        <v>349</v>
      </c>
      <c r="B277" s="33">
        <v>61.0</v>
      </c>
      <c r="C277" s="41"/>
      <c r="D277" s="34" t="s">
        <v>816</v>
      </c>
      <c r="E277" s="35" t="s">
        <v>817</v>
      </c>
      <c r="F277" s="36"/>
      <c r="G277" s="44" t="s">
        <v>818</v>
      </c>
      <c r="H277" s="38"/>
      <c r="I277" s="43" t="s">
        <v>27</v>
      </c>
      <c r="J277" s="43" t="s">
        <v>28</v>
      </c>
      <c r="K277" s="39"/>
      <c r="L277" s="40"/>
      <c r="M277" s="39"/>
      <c r="N277" s="38"/>
      <c r="O277" s="37"/>
    </row>
    <row r="278" ht="22.5" customHeight="1">
      <c r="A278" s="32" t="s">
        <v>819</v>
      </c>
      <c r="B278" s="33">
        <v>60.0</v>
      </c>
      <c r="C278" s="41"/>
      <c r="D278" s="34" t="s">
        <v>820</v>
      </c>
      <c r="E278" s="35" t="s">
        <v>821</v>
      </c>
      <c r="F278" s="36"/>
      <c r="G278" s="37"/>
      <c r="H278" s="38"/>
      <c r="I278" s="38"/>
      <c r="J278" s="38"/>
      <c r="K278" s="39"/>
      <c r="L278" s="40"/>
      <c r="M278" s="39"/>
      <c r="N278" s="38"/>
      <c r="O278" s="37"/>
    </row>
    <row r="279" ht="22.5" customHeight="1">
      <c r="A279" s="32"/>
      <c r="B279" s="33"/>
      <c r="C279" s="41"/>
      <c r="D279" s="34" t="s">
        <v>822</v>
      </c>
      <c r="E279" s="35" t="s">
        <v>823</v>
      </c>
      <c r="F279" s="36"/>
      <c r="G279" s="37"/>
      <c r="H279" s="38"/>
      <c r="I279" s="38"/>
      <c r="J279" s="38"/>
      <c r="K279" s="39"/>
      <c r="L279" s="40"/>
      <c r="M279" s="39"/>
      <c r="N279" s="38"/>
      <c r="O279" s="37"/>
    </row>
    <row r="280" ht="22.5" customHeight="1">
      <c r="A280" s="32" t="s">
        <v>824</v>
      </c>
      <c r="B280" s="33">
        <v>59.0</v>
      </c>
      <c r="C280" s="33" t="s">
        <v>88</v>
      </c>
      <c r="D280" s="34" t="s">
        <v>825</v>
      </c>
      <c r="E280" s="35" t="s">
        <v>826</v>
      </c>
      <c r="F280" s="36"/>
      <c r="G280" s="37"/>
      <c r="H280" s="38"/>
      <c r="I280" s="38"/>
      <c r="J280" s="38"/>
      <c r="K280" s="39"/>
      <c r="L280" s="40"/>
      <c r="M280" s="39"/>
      <c r="N280" s="38"/>
      <c r="O280" s="37"/>
    </row>
    <row r="281" ht="22.5" customHeight="1">
      <c r="A281" s="32" t="s">
        <v>827</v>
      </c>
      <c r="B281" s="33"/>
      <c r="C281" s="41"/>
      <c r="D281" s="34" t="s">
        <v>828</v>
      </c>
      <c r="E281" s="35"/>
      <c r="F281" s="36"/>
      <c r="G281" s="37"/>
      <c r="H281" s="38"/>
      <c r="I281" s="38"/>
      <c r="J281" s="38"/>
      <c r="K281" s="39"/>
      <c r="L281" s="40"/>
      <c r="M281" s="39"/>
      <c r="N281" s="38"/>
      <c r="O281" s="37"/>
    </row>
    <row r="282" ht="22.5" customHeight="1">
      <c r="A282" s="32" t="s">
        <v>829</v>
      </c>
      <c r="B282" s="33"/>
      <c r="C282" s="41"/>
      <c r="D282" s="34" t="s">
        <v>830</v>
      </c>
      <c r="E282" s="35"/>
      <c r="F282" s="36"/>
      <c r="G282" s="37"/>
      <c r="H282" s="38"/>
      <c r="I282" s="38"/>
      <c r="J282" s="38"/>
      <c r="K282" s="39"/>
      <c r="L282" s="40"/>
      <c r="M282" s="39"/>
      <c r="N282" s="38"/>
      <c r="O282" s="37"/>
    </row>
    <row r="283" ht="22.5" customHeight="1">
      <c r="A283" s="32"/>
      <c r="B283" s="33"/>
      <c r="C283" s="41"/>
      <c r="D283" s="34" t="s">
        <v>831</v>
      </c>
      <c r="E283" s="35"/>
      <c r="F283" s="36"/>
      <c r="G283" s="37"/>
      <c r="H283" s="38"/>
      <c r="I283" s="38"/>
      <c r="J283" s="38"/>
      <c r="K283" s="39"/>
      <c r="L283" s="40"/>
      <c r="M283" s="39"/>
      <c r="N283" s="38"/>
      <c r="O283" s="37"/>
    </row>
    <row r="284" ht="22.5" customHeight="1">
      <c r="A284" s="32"/>
      <c r="B284" s="33"/>
      <c r="C284" s="41"/>
      <c r="D284" s="34" t="s">
        <v>832</v>
      </c>
      <c r="E284" s="35"/>
      <c r="F284" s="36"/>
      <c r="G284" s="37"/>
      <c r="H284" s="38"/>
      <c r="I284" s="38"/>
      <c r="J284" s="38"/>
      <c r="K284" s="39"/>
      <c r="L284" s="40"/>
      <c r="M284" s="39"/>
      <c r="N284" s="38"/>
      <c r="O284" s="37"/>
    </row>
    <row r="285" ht="22.5" customHeight="1">
      <c r="A285" s="32"/>
      <c r="B285" s="33"/>
      <c r="C285" s="41"/>
      <c r="D285" s="34" t="s">
        <v>833</v>
      </c>
      <c r="E285" s="35"/>
      <c r="F285" s="36"/>
      <c r="G285" s="37"/>
      <c r="H285" s="38"/>
      <c r="I285" s="38"/>
      <c r="J285" s="38"/>
      <c r="K285" s="39"/>
      <c r="L285" s="40"/>
      <c r="M285" s="39"/>
      <c r="N285" s="38"/>
      <c r="O285" s="37"/>
    </row>
    <row r="286" ht="22.5" customHeight="1">
      <c r="A286" s="32" t="s">
        <v>834</v>
      </c>
      <c r="B286" s="33"/>
      <c r="C286" s="41"/>
      <c r="D286" s="34" t="s">
        <v>835</v>
      </c>
      <c r="E286" s="35"/>
      <c r="F286" s="36"/>
      <c r="G286" s="37"/>
      <c r="H286" s="38"/>
      <c r="I286" s="38"/>
      <c r="J286" s="38"/>
      <c r="K286" s="39"/>
      <c r="L286" s="40"/>
      <c r="M286" s="39"/>
      <c r="N286" s="38"/>
      <c r="O286" s="37"/>
    </row>
    <row r="287" ht="22.5" customHeight="1">
      <c r="A287" s="32" t="s">
        <v>836</v>
      </c>
      <c r="B287" s="33">
        <v>57.0</v>
      </c>
      <c r="C287" s="33" t="s">
        <v>88</v>
      </c>
      <c r="D287" s="34" t="s">
        <v>837</v>
      </c>
      <c r="E287" s="35" t="s">
        <v>838</v>
      </c>
      <c r="F287" s="36"/>
      <c r="G287" s="32" t="s">
        <v>839</v>
      </c>
      <c r="H287" s="38"/>
      <c r="I287" s="43" t="s">
        <v>34</v>
      </c>
      <c r="J287" s="43" t="s">
        <v>59</v>
      </c>
      <c r="K287" s="39"/>
      <c r="L287" s="40"/>
      <c r="M287" s="39"/>
      <c r="N287" s="38"/>
      <c r="O287" s="32" t="s">
        <v>840</v>
      </c>
    </row>
    <row r="288" ht="22.5" customHeight="1">
      <c r="A288" s="32"/>
      <c r="B288" s="33"/>
      <c r="C288" s="41"/>
      <c r="D288" s="34" t="s">
        <v>841</v>
      </c>
      <c r="E288" s="35"/>
      <c r="F288" s="36"/>
      <c r="G288" s="37"/>
      <c r="H288" s="38"/>
      <c r="I288" s="38"/>
      <c r="J288" s="38"/>
      <c r="K288" s="39"/>
      <c r="L288" s="40"/>
      <c r="M288" s="39"/>
      <c r="N288" s="38"/>
      <c r="O288" s="37"/>
    </row>
    <row r="289" ht="22.5" customHeight="1">
      <c r="A289" s="32"/>
      <c r="B289" s="33"/>
      <c r="C289" s="41"/>
      <c r="D289" s="34" t="s">
        <v>842</v>
      </c>
      <c r="E289" s="35"/>
      <c r="F289" s="36"/>
      <c r="G289" s="37"/>
      <c r="H289" s="38"/>
      <c r="I289" s="38"/>
      <c r="J289" s="38"/>
      <c r="K289" s="39"/>
      <c r="L289" s="40"/>
      <c r="M289" s="39"/>
      <c r="N289" s="38"/>
      <c r="O289" s="37"/>
    </row>
    <row r="290" ht="22.5" customHeight="1">
      <c r="A290" s="32" t="s">
        <v>843</v>
      </c>
      <c r="B290" s="33">
        <v>63.0</v>
      </c>
      <c r="C290" s="41"/>
      <c r="D290" s="34" t="s">
        <v>844</v>
      </c>
      <c r="E290" s="35" t="s">
        <v>845</v>
      </c>
      <c r="F290" s="36"/>
      <c r="G290" s="37"/>
      <c r="H290" s="38"/>
      <c r="I290" s="38"/>
      <c r="J290" s="38"/>
      <c r="K290" s="39"/>
      <c r="L290" s="40"/>
      <c r="M290" s="39"/>
      <c r="N290" s="38"/>
      <c r="O290" s="37"/>
    </row>
    <row r="291" ht="22.5" customHeight="1">
      <c r="A291" s="32" t="s">
        <v>846</v>
      </c>
      <c r="B291" s="33"/>
      <c r="C291" s="41"/>
      <c r="D291" s="34" t="s">
        <v>847</v>
      </c>
      <c r="E291" s="35"/>
      <c r="F291" s="36"/>
      <c r="G291" s="37"/>
      <c r="H291" s="38"/>
      <c r="I291" s="38"/>
      <c r="J291" s="38"/>
      <c r="K291" s="39"/>
      <c r="L291" s="40"/>
      <c r="M291" s="39"/>
      <c r="N291" s="38"/>
      <c r="O291" s="37"/>
    </row>
    <row r="292" ht="22.5" customHeight="1">
      <c r="A292" s="32" t="s">
        <v>848</v>
      </c>
      <c r="B292" s="33">
        <v>62.0</v>
      </c>
      <c r="C292" s="33" t="s">
        <v>88</v>
      </c>
      <c r="D292" s="34" t="s">
        <v>849</v>
      </c>
      <c r="E292" s="35" t="s">
        <v>850</v>
      </c>
      <c r="F292" s="36"/>
      <c r="G292" s="37"/>
      <c r="H292" s="38"/>
      <c r="I292" s="38"/>
      <c r="J292" s="38"/>
      <c r="K292" s="39"/>
      <c r="L292" s="40"/>
      <c r="M292" s="39"/>
      <c r="N292" s="38"/>
      <c r="O292" s="37"/>
    </row>
    <row r="293" ht="22.5" customHeight="1">
      <c r="A293" s="32" t="s">
        <v>851</v>
      </c>
      <c r="B293" s="33">
        <v>67.0</v>
      </c>
      <c r="C293" s="41"/>
      <c r="D293" s="34" t="s">
        <v>852</v>
      </c>
      <c r="E293" s="35" t="s">
        <v>853</v>
      </c>
      <c r="F293" s="36"/>
      <c r="G293" s="37"/>
      <c r="H293" s="38"/>
      <c r="I293" s="38"/>
      <c r="J293" s="38"/>
      <c r="K293" s="39"/>
      <c r="L293" s="40"/>
      <c r="M293" s="39"/>
      <c r="N293" s="38"/>
      <c r="O293" s="37"/>
    </row>
    <row r="294" ht="22.5" customHeight="1">
      <c r="A294" s="32" t="s">
        <v>854</v>
      </c>
      <c r="B294" s="33"/>
      <c r="C294" s="41"/>
      <c r="D294" s="34" t="s">
        <v>855</v>
      </c>
      <c r="E294" s="35"/>
      <c r="F294" s="36"/>
      <c r="G294" s="37"/>
      <c r="H294" s="38"/>
      <c r="I294" s="38"/>
      <c r="J294" s="38"/>
      <c r="K294" s="39"/>
      <c r="L294" s="40"/>
      <c r="M294" s="39"/>
      <c r="N294" s="38"/>
      <c r="O294" s="37"/>
    </row>
    <row r="295" ht="22.5" customHeight="1">
      <c r="A295" s="32" t="s">
        <v>856</v>
      </c>
      <c r="B295" s="33"/>
      <c r="C295" s="41"/>
      <c r="D295" s="34" t="s">
        <v>857</v>
      </c>
      <c r="E295" s="35"/>
      <c r="F295" s="36"/>
      <c r="G295" s="37"/>
      <c r="H295" s="38"/>
      <c r="I295" s="38"/>
      <c r="J295" s="38"/>
      <c r="K295" s="39"/>
      <c r="L295" s="40"/>
      <c r="M295" s="39"/>
      <c r="N295" s="38"/>
      <c r="O295" s="37"/>
    </row>
    <row r="296" ht="22.5" customHeight="1">
      <c r="A296" s="32" t="s">
        <v>858</v>
      </c>
      <c r="B296" s="33">
        <v>55.0</v>
      </c>
      <c r="C296" s="41"/>
      <c r="D296" s="34" t="s">
        <v>859</v>
      </c>
      <c r="E296" s="35" t="s">
        <v>860</v>
      </c>
      <c r="F296" s="36"/>
      <c r="G296" s="37"/>
      <c r="H296" s="38"/>
      <c r="I296" s="38"/>
      <c r="J296" s="38"/>
      <c r="K296" s="39"/>
      <c r="L296" s="40"/>
      <c r="M296" s="39"/>
      <c r="N296" s="38"/>
      <c r="O296" s="37"/>
    </row>
    <row r="297" ht="22.5" customHeight="1">
      <c r="A297" s="32" t="s">
        <v>861</v>
      </c>
      <c r="B297" s="33"/>
      <c r="C297" s="41"/>
      <c r="D297" s="34" t="s">
        <v>862</v>
      </c>
      <c r="E297" s="35"/>
      <c r="F297" s="36"/>
      <c r="G297" s="37"/>
      <c r="H297" s="38"/>
      <c r="I297" s="38"/>
      <c r="J297" s="38"/>
      <c r="K297" s="39"/>
      <c r="L297" s="40"/>
      <c r="M297" s="39"/>
      <c r="N297" s="38"/>
      <c r="O297" s="37"/>
    </row>
    <row r="298" ht="22.5" customHeight="1">
      <c r="A298" s="32" t="s">
        <v>863</v>
      </c>
      <c r="B298" s="33"/>
      <c r="C298" s="41"/>
      <c r="D298" s="34" t="s">
        <v>864</v>
      </c>
      <c r="E298" s="35"/>
      <c r="F298" s="36"/>
      <c r="G298" s="37"/>
      <c r="H298" s="38"/>
      <c r="I298" s="38"/>
      <c r="J298" s="38"/>
      <c r="K298" s="39"/>
      <c r="L298" s="40"/>
      <c r="M298" s="39"/>
      <c r="N298" s="38"/>
      <c r="O298" s="37"/>
    </row>
    <row r="299" ht="22.5" customHeight="1">
      <c r="A299" s="32"/>
      <c r="B299" s="33">
        <v>52.0</v>
      </c>
      <c r="C299" s="41"/>
      <c r="D299" s="34" t="s">
        <v>865</v>
      </c>
      <c r="E299" s="35" t="s">
        <v>866</v>
      </c>
      <c r="F299" s="36"/>
      <c r="G299" s="37"/>
      <c r="H299" s="38"/>
      <c r="I299" s="38"/>
      <c r="J299" s="38"/>
      <c r="K299" s="39"/>
      <c r="L299" s="40"/>
      <c r="M299" s="39"/>
      <c r="N299" s="38"/>
      <c r="O299" s="37"/>
    </row>
    <row r="300" ht="22.5" customHeight="1">
      <c r="A300" s="32"/>
      <c r="B300" s="33"/>
      <c r="C300" s="41"/>
      <c r="D300" s="34" t="s">
        <v>867</v>
      </c>
      <c r="E300" s="35"/>
      <c r="F300" s="36"/>
      <c r="G300" s="37"/>
      <c r="H300" s="38"/>
      <c r="I300" s="38"/>
      <c r="J300" s="38"/>
      <c r="K300" s="39"/>
      <c r="L300" s="40"/>
      <c r="M300" s="39"/>
      <c r="N300" s="38"/>
      <c r="O300" s="37"/>
    </row>
    <row r="301" ht="22.5" customHeight="1">
      <c r="A301" s="32" t="s">
        <v>868</v>
      </c>
      <c r="B301" s="33"/>
      <c r="C301" s="41"/>
      <c r="D301" s="34" t="s">
        <v>869</v>
      </c>
      <c r="E301" s="35"/>
      <c r="F301" s="36"/>
      <c r="G301" s="37"/>
      <c r="H301" s="38"/>
      <c r="I301" s="38"/>
      <c r="J301" s="38"/>
      <c r="K301" s="39"/>
      <c r="L301" s="40"/>
      <c r="M301" s="39"/>
      <c r="N301" s="38"/>
      <c r="O301" s="37"/>
    </row>
    <row r="302" ht="22.5" customHeight="1">
      <c r="A302" s="32"/>
      <c r="B302" s="33"/>
      <c r="C302" s="41"/>
      <c r="D302" s="34" t="s">
        <v>870</v>
      </c>
      <c r="E302" s="35"/>
      <c r="F302" s="36"/>
      <c r="G302" s="37"/>
      <c r="H302" s="38"/>
      <c r="I302" s="38"/>
      <c r="J302" s="38"/>
      <c r="K302" s="39"/>
      <c r="L302" s="40"/>
      <c r="M302" s="39"/>
      <c r="N302" s="38"/>
      <c r="O302" s="37"/>
    </row>
    <row r="303" ht="22.5" customHeight="1">
      <c r="A303" s="32" t="s">
        <v>871</v>
      </c>
      <c r="B303" s="33">
        <v>56.0</v>
      </c>
      <c r="C303" s="33" t="s">
        <v>872</v>
      </c>
      <c r="D303" s="34" t="s">
        <v>873</v>
      </c>
      <c r="E303" s="35" t="s">
        <v>874</v>
      </c>
      <c r="F303" s="36"/>
      <c r="G303" s="37"/>
      <c r="H303" s="38"/>
      <c r="I303" s="38"/>
      <c r="J303" s="38"/>
      <c r="K303" s="39"/>
      <c r="L303" s="40"/>
      <c r="M303" s="39"/>
      <c r="N303" s="38"/>
      <c r="O303" s="37"/>
    </row>
    <row r="304" ht="22.5" customHeight="1">
      <c r="A304" s="32" t="s">
        <v>875</v>
      </c>
      <c r="B304" s="33"/>
      <c r="C304" s="41"/>
      <c r="D304" s="34" t="s">
        <v>876</v>
      </c>
      <c r="E304" s="35"/>
      <c r="F304" s="36"/>
      <c r="G304" s="37"/>
      <c r="H304" s="38"/>
      <c r="I304" s="38"/>
      <c r="J304" s="38"/>
      <c r="K304" s="39"/>
      <c r="L304" s="40"/>
      <c r="M304" s="39"/>
      <c r="N304" s="38"/>
      <c r="O304" s="37"/>
    </row>
    <row r="305" ht="22.5" customHeight="1">
      <c r="A305" s="32" t="s">
        <v>877</v>
      </c>
      <c r="B305" s="33">
        <v>58.0</v>
      </c>
      <c r="C305" s="33" t="s">
        <v>878</v>
      </c>
      <c r="D305" s="34" t="s">
        <v>879</v>
      </c>
      <c r="E305" s="35" t="s">
        <v>880</v>
      </c>
      <c r="F305" s="35" t="s">
        <v>881</v>
      </c>
      <c r="G305" s="32" t="s">
        <v>882</v>
      </c>
      <c r="H305" s="38"/>
      <c r="I305" s="43" t="s">
        <v>27</v>
      </c>
      <c r="J305" s="43" t="s">
        <v>28</v>
      </c>
      <c r="K305" s="39"/>
      <c r="L305" s="40"/>
      <c r="M305" s="39"/>
      <c r="N305" s="38"/>
      <c r="O305" s="37"/>
    </row>
    <row r="306" ht="22.5" customHeight="1">
      <c r="A306" s="32" t="s">
        <v>488</v>
      </c>
      <c r="B306" s="33"/>
      <c r="C306" s="41"/>
      <c r="D306" s="34" t="s">
        <v>883</v>
      </c>
      <c r="E306" s="35"/>
      <c r="F306" s="36"/>
      <c r="G306" s="37"/>
      <c r="H306" s="38"/>
      <c r="I306" s="38"/>
      <c r="J306" s="38"/>
      <c r="K306" s="39"/>
      <c r="L306" s="40"/>
      <c r="M306" s="39"/>
      <c r="N306" s="38"/>
      <c r="O306" s="37"/>
    </row>
    <row r="307" ht="22.5" customHeight="1">
      <c r="A307" s="32" t="s">
        <v>884</v>
      </c>
      <c r="B307" s="33"/>
      <c r="C307" s="41"/>
      <c r="D307" s="34" t="s">
        <v>885</v>
      </c>
      <c r="E307" s="35"/>
      <c r="F307" s="36"/>
      <c r="G307" s="37"/>
      <c r="H307" s="38"/>
      <c r="I307" s="38"/>
      <c r="J307" s="38"/>
      <c r="K307" s="39"/>
      <c r="L307" s="40"/>
      <c r="M307" s="39"/>
      <c r="N307" s="38"/>
      <c r="O307" s="37"/>
    </row>
    <row r="308" ht="22.5" customHeight="1">
      <c r="A308" s="32" t="s">
        <v>886</v>
      </c>
      <c r="B308" s="33">
        <v>65.0</v>
      </c>
      <c r="C308" s="33" t="s">
        <v>397</v>
      </c>
      <c r="D308" s="34" t="s">
        <v>887</v>
      </c>
      <c r="E308" s="35" t="s">
        <v>888</v>
      </c>
      <c r="F308" s="36"/>
      <c r="G308" s="32" t="s">
        <v>889</v>
      </c>
      <c r="H308" s="38"/>
      <c r="I308" s="38"/>
      <c r="J308" s="38"/>
      <c r="K308" s="39"/>
      <c r="L308" s="40"/>
      <c r="M308" s="39"/>
      <c r="N308" s="38"/>
      <c r="O308" s="37"/>
    </row>
    <row r="309" ht="22.5" customHeight="1">
      <c r="A309" s="32" t="s">
        <v>890</v>
      </c>
      <c r="B309" s="33"/>
      <c r="C309" s="41"/>
      <c r="D309" s="34" t="s">
        <v>891</v>
      </c>
      <c r="E309" s="35"/>
      <c r="F309" s="36"/>
      <c r="G309" s="37"/>
      <c r="H309" s="38"/>
      <c r="I309" s="38"/>
      <c r="J309" s="38"/>
      <c r="K309" s="39"/>
      <c r="L309" s="40"/>
      <c r="M309" s="39"/>
      <c r="N309" s="38"/>
      <c r="O309" s="37"/>
    </row>
    <row r="310" ht="22.5" customHeight="1">
      <c r="A310" s="32" t="s">
        <v>892</v>
      </c>
      <c r="B310" s="33"/>
      <c r="C310" s="41"/>
      <c r="D310" s="34" t="s">
        <v>893</v>
      </c>
      <c r="E310" s="35"/>
      <c r="F310" s="36"/>
      <c r="G310" s="37"/>
      <c r="H310" s="38"/>
      <c r="I310" s="38"/>
      <c r="J310" s="38"/>
      <c r="K310" s="39"/>
      <c r="L310" s="40"/>
      <c r="M310" s="39"/>
      <c r="N310" s="38"/>
      <c r="O310" s="37"/>
    </row>
    <row r="311" ht="22.5" customHeight="1">
      <c r="A311" s="32"/>
      <c r="B311" s="33">
        <v>63.0</v>
      </c>
      <c r="C311" s="41"/>
      <c r="D311" s="34" t="s">
        <v>894</v>
      </c>
      <c r="E311" s="35"/>
      <c r="F311" s="35" t="s">
        <v>464</v>
      </c>
      <c r="G311" s="32" t="s">
        <v>895</v>
      </c>
      <c r="H311" s="38"/>
      <c r="I311" s="43" t="s">
        <v>27</v>
      </c>
      <c r="J311" s="43" t="s">
        <v>28</v>
      </c>
      <c r="K311" s="39"/>
      <c r="L311" s="40"/>
      <c r="M311" s="39"/>
      <c r="N311" s="38"/>
      <c r="O311" s="37"/>
    </row>
    <row r="312" ht="22.5" customHeight="1">
      <c r="A312" s="32" t="s">
        <v>896</v>
      </c>
      <c r="B312" s="33"/>
      <c r="C312" s="41"/>
      <c r="D312" s="34" t="s">
        <v>897</v>
      </c>
      <c r="E312" s="35"/>
      <c r="F312" s="36"/>
      <c r="G312" s="37"/>
      <c r="H312" s="38"/>
      <c r="I312" s="38"/>
      <c r="J312" s="38"/>
      <c r="K312" s="39"/>
      <c r="L312" s="40"/>
      <c r="M312" s="39"/>
      <c r="N312" s="38"/>
      <c r="O312" s="37"/>
    </row>
    <row r="313" ht="22.5" customHeight="1">
      <c r="A313" s="32"/>
      <c r="B313" s="33"/>
      <c r="C313" s="41"/>
      <c r="D313" s="34" t="s">
        <v>898</v>
      </c>
      <c r="E313" s="35"/>
      <c r="F313" s="36"/>
      <c r="G313" s="37"/>
      <c r="H313" s="38"/>
      <c r="I313" s="38"/>
      <c r="J313" s="38"/>
      <c r="K313" s="39"/>
      <c r="L313" s="40"/>
      <c r="M313" s="39"/>
      <c r="N313" s="38"/>
      <c r="O313" s="37"/>
    </row>
    <row r="314" ht="22.5" customHeight="1">
      <c r="A314" s="32" t="s">
        <v>899</v>
      </c>
      <c r="B314" s="33"/>
      <c r="C314" s="33" t="s">
        <v>88</v>
      </c>
      <c r="D314" s="34" t="s">
        <v>900</v>
      </c>
      <c r="E314" s="35"/>
      <c r="F314" s="36"/>
      <c r="G314" s="37"/>
      <c r="H314" s="38"/>
      <c r="I314" s="38"/>
      <c r="J314" s="38"/>
      <c r="K314" s="39"/>
      <c r="L314" s="40"/>
      <c r="M314" s="39"/>
      <c r="N314" s="38"/>
      <c r="O314" s="37"/>
    </row>
    <row r="315" ht="22.5" customHeight="1">
      <c r="A315" s="32" t="s">
        <v>901</v>
      </c>
      <c r="B315" s="33"/>
      <c r="C315" s="41"/>
      <c r="D315" s="34" t="s">
        <v>902</v>
      </c>
      <c r="E315" s="35"/>
      <c r="F315" s="36"/>
      <c r="G315" s="37"/>
      <c r="H315" s="38"/>
      <c r="I315" s="38"/>
      <c r="J315" s="38"/>
      <c r="K315" s="39"/>
      <c r="L315" s="40"/>
      <c r="M315" s="39"/>
      <c r="N315" s="38"/>
      <c r="O315" s="37"/>
    </row>
    <row r="316" ht="22.5" customHeight="1">
      <c r="A316" s="32"/>
      <c r="B316" s="33"/>
      <c r="C316" s="41"/>
      <c r="D316" s="34" t="s">
        <v>903</v>
      </c>
      <c r="E316" s="35"/>
      <c r="F316" s="36"/>
      <c r="G316" s="37"/>
      <c r="H316" s="38"/>
      <c r="I316" s="38"/>
      <c r="J316" s="38"/>
      <c r="K316" s="39"/>
      <c r="L316" s="40"/>
      <c r="M316" s="39"/>
      <c r="N316" s="38"/>
      <c r="O316" s="37"/>
    </row>
    <row r="317" ht="22.5" customHeight="1">
      <c r="A317" s="32" t="s">
        <v>904</v>
      </c>
      <c r="B317" s="33">
        <v>66.0</v>
      </c>
      <c r="C317" s="33" t="s">
        <v>586</v>
      </c>
      <c r="D317" s="34" t="s">
        <v>905</v>
      </c>
      <c r="E317" s="35" t="s">
        <v>906</v>
      </c>
      <c r="F317" s="36"/>
      <c r="G317" s="37"/>
      <c r="H317" s="38"/>
      <c r="I317" s="43" t="s">
        <v>27</v>
      </c>
      <c r="J317" s="43" t="s">
        <v>28</v>
      </c>
      <c r="K317" s="39"/>
      <c r="L317" s="40"/>
      <c r="M317" s="39"/>
      <c r="N317" s="38"/>
      <c r="O317" s="37"/>
    </row>
    <row r="318" ht="22.5" customHeight="1">
      <c r="A318" s="32" t="s">
        <v>907</v>
      </c>
      <c r="B318" s="33">
        <v>65.0</v>
      </c>
      <c r="C318" s="33" t="s">
        <v>806</v>
      </c>
      <c r="D318" s="34" t="s">
        <v>908</v>
      </c>
      <c r="E318" s="35" t="s">
        <v>909</v>
      </c>
      <c r="F318" s="36"/>
      <c r="G318" s="32" t="s">
        <v>910</v>
      </c>
      <c r="H318" s="38"/>
      <c r="I318" s="38"/>
      <c r="J318" s="38"/>
      <c r="K318" s="39"/>
      <c r="L318" s="40"/>
      <c r="M318" s="39"/>
      <c r="N318" s="38"/>
      <c r="O318" s="37"/>
    </row>
    <row r="319" ht="22.5" customHeight="1">
      <c r="A319" s="32"/>
      <c r="B319" s="33"/>
      <c r="C319" s="41"/>
      <c r="D319" s="34" t="s">
        <v>911</v>
      </c>
      <c r="E319" s="35"/>
      <c r="F319" s="36"/>
      <c r="G319" s="37"/>
      <c r="H319" s="38"/>
      <c r="I319" s="38"/>
      <c r="J319" s="38"/>
      <c r="K319" s="39"/>
      <c r="L319" s="40"/>
      <c r="M319" s="39"/>
      <c r="N319" s="38"/>
      <c r="O319" s="37"/>
    </row>
    <row r="320" ht="22.5" customHeight="1">
      <c r="A320" s="32" t="s">
        <v>912</v>
      </c>
      <c r="B320" s="33">
        <v>56.0</v>
      </c>
      <c r="C320" s="33" t="s">
        <v>913</v>
      </c>
      <c r="D320" s="34" t="s">
        <v>914</v>
      </c>
      <c r="E320" s="35" t="s">
        <v>915</v>
      </c>
      <c r="F320" s="36"/>
      <c r="G320" s="37"/>
      <c r="H320" s="38"/>
      <c r="I320" s="38"/>
      <c r="J320" s="38"/>
      <c r="K320" s="39"/>
      <c r="L320" s="40"/>
      <c r="M320" s="39"/>
      <c r="N320" s="38"/>
      <c r="O320" s="37"/>
    </row>
    <row r="321" ht="22.5" customHeight="1">
      <c r="A321" s="32" t="s">
        <v>916</v>
      </c>
      <c r="B321" s="33">
        <v>54.0</v>
      </c>
      <c r="C321" s="33" t="s">
        <v>917</v>
      </c>
      <c r="D321" s="34" t="s">
        <v>918</v>
      </c>
      <c r="E321" s="35" t="s">
        <v>919</v>
      </c>
      <c r="F321" s="36"/>
      <c r="G321" s="37"/>
      <c r="H321" s="38"/>
      <c r="I321" s="38"/>
      <c r="J321" s="38"/>
      <c r="K321" s="39"/>
      <c r="L321" s="40"/>
      <c r="M321" s="39"/>
      <c r="N321" s="38"/>
      <c r="O321" s="37"/>
    </row>
    <row r="322" ht="22.5" customHeight="1">
      <c r="A322" s="32"/>
      <c r="B322" s="33"/>
      <c r="C322" s="33" t="s">
        <v>638</v>
      </c>
      <c r="D322" s="34" t="s">
        <v>920</v>
      </c>
      <c r="E322" s="35"/>
      <c r="F322" s="36"/>
      <c r="G322" s="37"/>
      <c r="H322" s="38"/>
      <c r="I322" s="38"/>
      <c r="J322" s="38"/>
      <c r="K322" s="39"/>
      <c r="L322" s="40"/>
      <c r="M322" s="39"/>
      <c r="N322" s="38"/>
      <c r="O322" s="37"/>
    </row>
    <row r="323" ht="22.5" customHeight="1">
      <c r="A323" s="32" t="s">
        <v>921</v>
      </c>
      <c r="B323" s="33"/>
      <c r="C323" s="41"/>
      <c r="D323" s="34" t="s">
        <v>922</v>
      </c>
      <c r="E323" s="35"/>
      <c r="F323" s="36"/>
      <c r="G323" s="37"/>
      <c r="H323" s="38"/>
      <c r="I323" s="38"/>
      <c r="J323" s="38"/>
      <c r="K323" s="39"/>
      <c r="L323" s="40"/>
      <c r="M323" s="39"/>
      <c r="N323" s="38"/>
      <c r="O323" s="37"/>
    </row>
    <row r="324" ht="22.5" customHeight="1">
      <c r="A324" s="32"/>
      <c r="B324" s="33"/>
      <c r="C324" s="41"/>
      <c r="D324" s="34" t="s">
        <v>923</v>
      </c>
      <c r="E324" s="35"/>
      <c r="F324" s="36"/>
      <c r="G324" s="37"/>
      <c r="H324" s="38"/>
      <c r="I324" s="38"/>
      <c r="J324" s="38"/>
      <c r="K324" s="39"/>
      <c r="L324" s="40"/>
      <c r="M324" s="39"/>
      <c r="N324" s="38"/>
      <c r="O324" s="37"/>
    </row>
    <row r="325" ht="22.5" customHeight="1">
      <c r="A325" s="32" t="s">
        <v>924</v>
      </c>
      <c r="B325" s="33"/>
      <c r="C325" s="41"/>
      <c r="D325" s="34" t="s">
        <v>925</v>
      </c>
      <c r="E325" s="35"/>
      <c r="F325" s="36"/>
      <c r="G325" s="37"/>
      <c r="H325" s="38"/>
      <c r="I325" s="38"/>
      <c r="J325" s="38"/>
      <c r="K325" s="39"/>
      <c r="L325" s="40"/>
      <c r="M325" s="39"/>
      <c r="N325" s="38"/>
      <c r="O325" s="37"/>
    </row>
    <row r="326" ht="22.5" customHeight="1">
      <c r="A326" s="32" t="s">
        <v>926</v>
      </c>
      <c r="B326" s="33"/>
      <c r="C326" s="41"/>
      <c r="D326" s="34" t="s">
        <v>927</v>
      </c>
      <c r="E326" s="35"/>
      <c r="F326" s="36"/>
      <c r="G326" s="37"/>
      <c r="H326" s="38"/>
      <c r="I326" s="38"/>
      <c r="J326" s="38"/>
      <c r="K326" s="39"/>
      <c r="L326" s="40"/>
      <c r="M326" s="39"/>
      <c r="N326" s="38"/>
      <c r="O326" s="37"/>
    </row>
    <row r="327" ht="22.5" customHeight="1">
      <c r="A327" s="32" t="s">
        <v>928</v>
      </c>
      <c r="B327" s="33"/>
      <c r="C327" s="41"/>
      <c r="D327" s="34" t="s">
        <v>929</v>
      </c>
      <c r="E327" s="35"/>
      <c r="F327" s="36"/>
      <c r="G327" s="37"/>
      <c r="H327" s="38"/>
      <c r="I327" s="38"/>
      <c r="J327" s="38"/>
      <c r="K327" s="39"/>
      <c r="L327" s="40"/>
      <c r="M327" s="39"/>
      <c r="N327" s="38"/>
      <c r="O327" s="37"/>
    </row>
    <row r="328" ht="22.5" customHeight="1">
      <c r="A328" s="32" t="s">
        <v>930</v>
      </c>
      <c r="B328" s="33">
        <v>59.0</v>
      </c>
      <c r="C328" s="33" t="s">
        <v>451</v>
      </c>
      <c r="D328" s="34" t="s">
        <v>931</v>
      </c>
      <c r="E328" s="35" t="s">
        <v>932</v>
      </c>
      <c r="F328" s="36"/>
      <c r="G328" s="37"/>
      <c r="H328" s="38"/>
      <c r="I328" s="38"/>
      <c r="J328" s="38"/>
      <c r="K328" s="39"/>
      <c r="L328" s="40"/>
      <c r="M328" s="39"/>
      <c r="N328" s="38"/>
      <c r="O328" s="37"/>
    </row>
    <row r="329" ht="22.5" customHeight="1">
      <c r="A329" s="32" t="s">
        <v>933</v>
      </c>
      <c r="B329" s="33">
        <v>61.0</v>
      </c>
      <c r="C329" s="33" t="s">
        <v>67</v>
      </c>
      <c r="D329" s="34" t="s">
        <v>934</v>
      </c>
      <c r="E329" s="35" t="s">
        <v>935</v>
      </c>
      <c r="F329" s="36"/>
      <c r="G329" s="37"/>
      <c r="H329" s="38"/>
      <c r="I329" s="38"/>
      <c r="J329" s="38"/>
      <c r="K329" s="39"/>
      <c r="L329" s="40"/>
      <c r="M329" s="39"/>
      <c r="N329" s="38"/>
      <c r="O329" s="37"/>
    </row>
    <row r="330" ht="22.5" customHeight="1">
      <c r="A330" s="32" t="s">
        <v>936</v>
      </c>
      <c r="B330" s="33"/>
      <c r="C330" s="41"/>
      <c r="D330" s="34" t="s">
        <v>937</v>
      </c>
      <c r="E330" s="35"/>
      <c r="F330" s="36"/>
      <c r="G330" s="37"/>
      <c r="H330" s="38"/>
      <c r="I330" s="38"/>
      <c r="J330" s="38"/>
      <c r="K330" s="39"/>
      <c r="L330" s="40"/>
      <c r="M330" s="39"/>
      <c r="N330" s="38"/>
      <c r="O330" s="37"/>
    </row>
    <row r="331" ht="22.5" customHeight="1">
      <c r="A331" s="32"/>
      <c r="B331" s="33"/>
      <c r="C331" s="33"/>
      <c r="D331" s="33"/>
      <c r="E331" s="35"/>
      <c r="F331" s="36"/>
      <c r="G331" s="37"/>
      <c r="H331" s="38"/>
      <c r="I331" s="38"/>
      <c r="J331" s="38"/>
      <c r="K331" s="39"/>
      <c r="L331" s="40"/>
      <c r="M331" s="39"/>
      <c r="N331" s="38"/>
      <c r="O331" s="37"/>
    </row>
    <row r="332" ht="22.5" customHeight="1">
      <c r="A332" s="32"/>
      <c r="B332" s="33"/>
      <c r="C332" s="41"/>
      <c r="D332" s="33"/>
      <c r="E332" s="35"/>
      <c r="F332" s="36"/>
      <c r="G332" s="37"/>
      <c r="H332" s="38"/>
      <c r="I332" s="38"/>
      <c r="J332" s="38"/>
      <c r="K332" s="39"/>
      <c r="L332" s="40"/>
      <c r="M332" s="39"/>
      <c r="N332" s="38"/>
      <c r="O332" s="37"/>
    </row>
    <row r="333" ht="22.5" customHeight="1">
      <c r="A333" s="32"/>
      <c r="B333" s="33"/>
      <c r="C333" s="41"/>
      <c r="D333" s="33"/>
      <c r="E333" s="35"/>
      <c r="F333" s="36"/>
      <c r="G333" s="37"/>
      <c r="H333" s="38"/>
      <c r="I333" s="38"/>
      <c r="J333" s="38"/>
      <c r="K333" s="39"/>
      <c r="L333" s="40"/>
      <c r="M333" s="39"/>
      <c r="N333" s="38"/>
      <c r="O333" s="37"/>
    </row>
    <row r="334" ht="22.5" customHeight="1">
      <c r="A334" s="32"/>
      <c r="B334" s="33"/>
      <c r="C334" s="41"/>
      <c r="D334" s="33"/>
      <c r="E334" s="35"/>
      <c r="F334" s="36"/>
      <c r="G334" s="37"/>
      <c r="H334" s="38"/>
      <c r="I334" s="38"/>
      <c r="J334" s="38"/>
      <c r="K334" s="39"/>
      <c r="L334" s="40"/>
      <c r="M334" s="39"/>
      <c r="N334" s="38"/>
      <c r="O334" s="37"/>
    </row>
    <row r="335" ht="22.5" customHeight="1">
      <c r="A335" s="32"/>
      <c r="B335" s="33"/>
      <c r="C335" s="41"/>
      <c r="D335" s="33"/>
      <c r="E335" s="35"/>
      <c r="F335" s="36"/>
      <c r="G335" s="37"/>
      <c r="H335" s="38"/>
      <c r="I335" s="38"/>
      <c r="J335" s="38"/>
      <c r="K335" s="39"/>
      <c r="L335" s="40"/>
      <c r="M335" s="39"/>
      <c r="N335" s="38"/>
      <c r="O335" s="37"/>
    </row>
    <row r="336" ht="22.5" customHeight="1">
      <c r="A336" s="32"/>
      <c r="B336" s="33"/>
      <c r="C336" s="41"/>
      <c r="D336" s="33"/>
      <c r="E336" s="35"/>
      <c r="F336" s="36"/>
      <c r="G336" s="37"/>
      <c r="H336" s="38"/>
      <c r="I336" s="38"/>
      <c r="J336" s="38"/>
      <c r="K336" s="39"/>
      <c r="L336" s="40"/>
      <c r="M336" s="39"/>
      <c r="N336" s="38"/>
      <c r="O336" s="37"/>
    </row>
    <row r="337" ht="22.5" customHeight="1">
      <c r="A337" s="32"/>
      <c r="B337" s="33"/>
      <c r="C337" s="41"/>
      <c r="D337" s="33"/>
      <c r="E337" s="35"/>
      <c r="F337" s="36"/>
      <c r="G337" s="37"/>
      <c r="H337" s="38"/>
      <c r="I337" s="38"/>
      <c r="J337" s="38"/>
      <c r="K337" s="39"/>
      <c r="L337" s="40"/>
      <c r="M337" s="39"/>
      <c r="N337" s="38"/>
      <c r="O337" s="37"/>
    </row>
    <row r="338" ht="22.5" customHeight="1">
      <c r="A338" s="32"/>
      <c r="B338" s="33"/>
      <c r="C338" s="41"/>
      <c r="D338" s="33"/>
      <c r="E338" s="35"/>
      <c r="F338" s="36"/>
      <c r="G338" s="37"/>
      <c r="H338" s="38"/>
      <c r="I338" s="38"/>
      <c r="J338" s="38"/>
      <c r="K338" s="39"/>
      <c r="L338" s="40"/>
      <c r="M338" s="39"/>
      <c r="N338" s="38"/>
      <c r="O338" s="37"/>
    </row>
    <row r="339" ht="22.5" customHeight="1">
      <c r="A339" s="32"/>
      <c r="B339" s="33"/>
      <c r="C339" s="41"/>
      <c r="D339" s="33"/>
      <c r="E339" s="35"/>
      <c r="F339" s="36"/>
      <c r="G339" s="37"/>
      <c r="H339" s="38"/>
      <c r="I339" s="38"/>
      <c r="J339" s="38"/>
      <c r="K339" s="39"/>
      <c r="L339" s="40"/>
      <c r="M339" s="39"/>
      <c r="N339" s="38"/>
      <c r="O339" s="37"/>
    </row>
    <row r="340" ht="22.5" customHeight="1">
      <c r="A340" s="32"/>
      <c r="B340" s="33"/>
      <c r="C340" s="41"/>
      <c r="D340" s="33"/>
      <c r="E340" s="35"/>
      <c r="F340" s="36"/>
      <c r="G340" s="37"/>
      <c r="H340" s="38"/>
      <c r="I340" s="38"/>
      <c r="J340" s="38"/>
      <c r="K340" s="39"/>
      <c r="L340" s="40"/>
      <c r="M340" s="39"/>
      <c r="N340" s="38"/>
      <c r="O340" s="37"/>
    </row>
    <row r="341" ht="22.5" customHeight="1">
      <c r="A341" s="32"/>
      <c r="B341" s="33"/>
      <c r="C341" s="41"/>
      <c r="D341" s="33"/>
      <c r="E341" s="35"/>
      <c r="F341" s="36"/>
      <c r="G341" s="37"/>
      <c r="H341" s="38"/>
      <c r="I341" s="38"/>
      <c r="J341" s="38"/>
      <c r="K341" s="39"/>
      <c r="L341" s="40"/>
      <c r="M341" s="39"/>
      <c r="N341" s="38"/>
      <c r="O341" s="37"/>
    </row>
    <row r="342" ht="22.5" customHeight="1">
      <c r="A342" s="32"/>
      <c r="B342" s="33"/>
      <c r="C342" s="41"/>
      <c r="D342" s="33"/>
      <c r="E342" s="35"/>
      <c r="F342" s="36"/>
      <c r="G342" s="37"/>
      <c r="H342" s="38"/>
      <c r="I342" s="38"/>
      <c r="J342" s="38"/>
      <c r="K342" s="39"/>
      <c r="L342" s="40"/>
      <c r="M342" s="39"/>
      <c r="N342" s="38"/>
      <c r="O342" s="37"/>
    </row>
    <row r="343" ht="22.5" customHeight="1">
      <c r="A343" s="32"/>
      <c r="B343" s="33"/>
      <c r="C343" s="41"/>
      <c r="D343" s="33"/>
      <c r="E343" s="35"/>
      <c r="F343" s="36"/>
      <c r="G343" s="37"/>
      <c r="H343" s="38"/>
      <c r="I343" s="38"/>
      <c r="J343" s="38"/>
      <c r="K343" s="39"/>
      <c r="L343" s="40"/>
      <c r="M343" s="39"/>
      <c r="N343" s="38"/>
      <c r="O343" s="37"/>
    </row>
    <row r="344" ht="22.5" customHeight="1">
      <c r="A344" s="32"/>
      <c r="B344" s="33"/>
      <c r="C344" s="41"/>
      <c r="D344" s="33"/>
      <c r="E344" s="35"/>
      <c r="F344" s="36"/>
      <c r="G344" s="37"/>
      <c r="H344" s="38"/>
      <c r="I344" s="38"/>
      <c r="J344" s="38"/>
      <c r="K344" s="39"/>
      <c r="L344" s="40"/>
      <c r="M344" s="39"/>
      <c r="N344" s="38"/>
      <c r="O344" s="37"/>
    </row>
    <row r="345" ht="22.5" customHeight="1">
      <c r="A345" s="32"/>
      <c r="B345" s="33"/>
      <c r="C345" s="41"/>
      <c r="D345" s="33"/>
      <c r="E345" s="35"/>
      <c r="F345" s="36"/>
      <c r="G345" s="37"/>
      <c r="H345" s="38"/>
      <c r="I345" s="38"/>
      <c r="J345" s="38"/>
      <c r="K345" s="39"/>
      <c r="L345" s="40"/>
      <c r="M345" s="39"/>
      <c r="N345" s="38"/>
      <c r="O345" s="37"/>
    </row>
    <row r="346" ht="22.5" customHeight="1">
      <c r="A346" s="32"/>
      <c r="B346" s="33"/>
      <c r="C346" s="41"/>
      <c r="D346" s="33"/>
      <c r="E346" s="35"/>
      <c r="F346" s="36"/>
      <c r="G346" s="37"/>
      <c r="H346" s="38"/>
      <c r="I346" s="38"/>
      <c r="J346" s="38"/>
      <c r="K346" s="39"/>
      <c r="L346" s="40"/>
      <c r="M346" s="39"/>
      <c r="N346" s="38"/>
      <c r="O346" s="37"/>
    </row>
    <row r="347" ht="22.5" customHeight="1">
      <c r="A347" s="32"/>
      <c r="B347" s="33"/>
      <c r="C347" s="41"/>
      <c r="D347" s="33"/>
      <c r="E347" s="35"/>
      <c r="F347" s="36"/>
      <c r="G347" s="37"/>
      <c r="H347" s="38"/>
      <c r="I347" s="38"/>
      <c r="J347" s="38"/>
      <c r="K347" s="39"/>
      <c r="L347" s="40"/>
      <c r="M347" s="39"/>
      <c r="N347" s="38"/>
      <c r="O347" s="37"/>
    </row>
    <row r="348" ht="22.5" customHeight="1">
      <c r="A348" s="32"/>
      <c r="B348" s="33"/>
      <c r="C348" s="41"/>
      <c r="D348" s="33"/>
      <c r="E348" s="35"/>
      <c r="F348" s="36"/>
      <c r="G348" s="37"/>
      <c r="H348" s="38"/>
      <c r="I348" s="38"/>
      <c r="J348" s="38"/>
      <c r="K348" s="39"/>
      <c r="L348" s="40"/>
      <c r="M348" s="39"/>
      <c r="N348" s="38"/>
      <c r="O348" s="37"/>
    </row>
    <row r="349" ht="22.5" customHeight="1">
      <c r="A349" s="32"/>
      <c r="B349" s="33"/>
      <c r="C349" s="41"/>
      <c r="D349" s="33"/>
      <c r="E349" s="35"/>
      <c r="F349" s="36"/>
      <c r="G349" s="37"/>
      <c r="H349" s="38"/>
      <c r="I349" s="38"/>
      <c r="J349" s="38"/>
      <c r="K349" s="39"/>
      <c r="L349" s="40"/>
      <c r="M349" s="39"/>
      <c r="N349" s="38"/>
      <c r="O349" s="37"/>
    </row>
    <row r="350" ht="22.5" customHeight="1">
      <c r="A350" s="32"/>
      <c r="B350" s="33"/>
      <c r="C350" s="41"/>
      <c r="D350" s="33"/>
      <c r="E350" s="35"/>
      <c r="F350" s="36"/>
      <c r="G350" s="37"/>
      <c r="H350" s="38"/>
      <c r="I350" s="38"/>
      <c r="J350" s="38"/>
      <c r="K350" s="39"/>
      <c r="L350" s="40"/>
      <c r="M350" s="39"/>
      <c r="N350" s="38"/>
      <c r="O350" s="37"/>
    </row>
    <row r="351" ht="22.5" customHeight="1">
      <c r="A351" s="32"/>
      <c r="B351" s="33"/>
      <c r="C351" s="41"/>
      <c r="D351" s="33"/>
      <c r="E351" s="35"/>
      <c r="F351" s="36"/>
      <c r="G351" s="37"/>
      <c r="H351" s="38"/>
      <c r="I351" s="38"/>
      <c r="J351" s="38"/>
      <c r="K351" s="39"/>
      <c r="L351" s="40"/>
      <c r="M351" s="39"/>
      <c r="N351" s="38"/>
      <c r="O351" s="37"/>
    </row>
    <row r="352" ht="22.5" customHeight="1">
      <c r="A352" s="32"/>
      <c r="B352" s="33"/>
      <c r="C352" s="41"/>
      <c r="D352" s="33"/>
      <c r="E352" s="35"/>
      <c r="F352" s="36"/>
      <c r="G352" s="37"/>
      <c r="H352" s="38"/>
      <c r="I352" s="38"/>
      <c r="J352" s="38"/>
      <c r="K352" s="39"/>
      <c r="L352" s="40"/>
      <c r="M352" s="39"/>
      <c r="N352" s="38"/>
      <c r="O352" s="37"/>
    </row>
    <row r="353" ht="22.5" customHeight="1">
      <c r="A353" s="32"/>
      <c r="B353" s="33"/>
      <c r="C353" s="41"/>
      <c r="D353" s="33"/>
      <c r="E353" s="35"/>
      <c r="F353" s="36"/>
      <c r="G353" s="37"/>
      <c r="H353" s="38"/>
      <c r="I353" s="38"/>
      <c r="J353" s="38"/>
      <c r="K353" s="39"/>
      <c r="L353" s="40"/>
      <c r="M353" s="39"/>
      <c r="N353" s="38"/>
      <c r="O353" s="37"/>
    </row>
    <row r="354" ht="22.5" customHeight="1">
      <c r="A354" s="32"/>
      <c r="B354" s="33"/>
      <c r="C354" s="41"/>
      <c r="D354" s="33"/>
      <c r="E354" s="35"/>
      <c r="F354" s="36"/>
      <c r="G354" s="37"/>
      <c r="H354" s="38"/>
      <c r="I354" s="38"/>
      <c r="J354" s="38"/>
      <c r="K354" s="39"/>
      <c r="L354" s="40"/>
      <c r="M354" s="39"/>
      <c r="N354" s="38"/>
      <c r="O354" s="37"/>
    </row>
    <row r="355" ht="22.5" customHeight="1">
      <c r="A355" s="32"/>
      <c r="B355" s="33"/>
      <c r="C355" s="41"/>
      <c r="D355" s="33"/>
      <c r="E355" s="35"/>
      <c r="F355" s="36"/>
      <c r="G355" s="37"/>
      <c r="H355" s="38"/>
      <c r="I355" s="38"/>
      <c r="J355" s="38"/>
      <c r="K355" s="39"/>
      <c r="L355" s="40"/>
      <c r="M355" s="39"/>
      <c r="N355" s="38"/>
      <c r="O355" s="37"/>
    </row>
    <row r="356" ht="22.5" customHeight="1">
      <c r="A356" s="32"/>
      <c r="B356" s="33"/>
      <c r="C356" s="41"/>
      <c r="D356" s="33"/>
      <c r="E356" s="35"/>
      <c r="F356" s="36"/>
      <c r="G356" s="37"/>
      <c r="H356" s="38"/>
      <c r="I356" s="38"/>
      <c r="J356" s="38"/>
      <c r="K356" s="39"/>
      <c r="L356" s="40"/>
      <c r="M356" s="39"/>
      <c r="N356" s="38"/>
      <c r="O356" s="37"/>
    </row>
    <row r="357" ht="22.5" customHeight="1">
      <c r="A357" s="32"/>
      <c r="B357" s="33"/>
      <c r="C357" s="41"/>
      <c r="D357" s="33"/>
      <c r="E357" s="35"/>
      <c r="F357" s="36"/>
      <c r="G357" s="37"/>
      <c r="H357" s="38"/>
      <c r="I357" s="38"/>
      <c r="J357" s="38"/>
      <c r="K357" s="39"/>
      <c r="L357" s="40"/>
      <c r="M357" s="39"/>
      <c r="N357" s="38"/>
      <c r="O357" s="37"/>
    </row>
    <row r="358" ht="22.5" customHeight="1">
      <c r="A358" s="32"/>
      <c r="B358" s="33"/>
      <c r="C358" s="41"/>
      <c r="D358" s="33"/>
      <c r="E358" s="35"/>
      <c r="F358" s="36"/>
      <c r="G358" s="37"/>
      <c r="H358" s="38"/>
      <c r="I358" s="38"/>
      <c r="J358" s="38"/>
      <c r="K358" s="39"/>
      <c r="L358" s="40"/>
      <c r="M358" s="39"/>
      <c r="N358" s="38"/>
      <c r="O358" s="37"/>
    </row>
    <row r="359" ht="22.5" customHeight="1">
      <c r="A359" s="32"/>
      <c r="B359" s="33"/>
      <c r="C359" s="41"/>
      <c r="D359" s="33"/>
      <c r="E359" s="35"/>
      <c r="F359" s="36"/>
      <c r="G359" s="37"/>
      <c r="H359" s="38"/>
      <c r="I359" s="38"/>
      <c r="J359" s="38"/>
      <c r="K359" s="39"/>
      <c r="L359" s="40"/>
      <c r="M359" s="39"/>
      <c r="N359" s="38"/>
      <c r="O359" s="37"/>
    </row>
    <row r="360" ht="22.5" customHeight="1">
      <c r="A360" s="32"/>
      <c r="B360" s="33"/>
      <c r="C360" s="41"/>
      <c r="D360" s="33"/>
      <c r="E360" s="35"/>
      <c r="F360" s="36"/>
      <c r="G360" s="37"/>
      <c r="H360" s="38"/>
      <c r="I360" s="38"/>
      <c r="J360" s="38"/>
      <c r="K360" s="39"/>
      <c r="L360" s="40"/>
      <c r="M360" s="39"/>
      <c r="N360" s="38"/>
      <c r="O360" s="37"/>
    </row>
    <row r="361" ht="22.5" customHeight="1">
      <c r="A361" s="32"/>
      <c r="B361" s="33"/>
      <c r="C361" s="41"/>
      <c r="D361" s="33"/>
      <c r="E361" s="35"/>
      <c r="F361" s="36"/>
      <c r="G361" s="37"/>
      <c r="H361" s="38"/>
      <c r="I361" s="38"/>
      <c r="J361" s="38"/>
      <c r="K361" s="39"/>
      <c r="L361" s="40"/>
      <c r="M361" s="39"/>
      <c r="N361" s="38"/>
      <c r="O361" s="37"/>
    </row>
    <row r="362" ht="22.5" customHeight="1">
      <c r="A362" s="32"/>
      <c r="B362" s="33"/>
      <c r="C362" s="41"/>
      <c r="D362" s="33"/>
      <c r="E362" s="35"/>
      <c r="F362" s="36"/>
      <c r="G362" s="37"/>
      <c r="H362" s="38"/>
      <c r="I362" s="38"/>
      <c r="J362" s="38"/>
      <c r="K362" s="39"/>
      <c r="L362" s="40"/>
      <c r="M362" s="39"/>
      <c r="N362" s="38"/>
      <c r="O362" s="37"/>
    </row>
    <row r="363" ht="22.5" customHeight="1">
      <c r="A363" s="32"/>
      <c r="B363" s="33"/>
      <c r="C363" s="41"/>
      <c r="D363" s="33"/>
      <c r="E363" s="35"/>
      <c r="F363" s="36"/>
      <c r="G363" s="37"/>
      <c r="H363" s="38"/>
      <c r="I363" s="38"/>
      <c r="J363" s="38"/>
      <c r="K363" s="39"/>
      <c r="L363" s="40"/>
      <c r="M363" s="39"/>
      <c r="N363" s="38"/>
      <c r="O363" s="37"/>
    </row>
    <row r="364" ht="22.5" customHeight="1">
      <c r="A364" s="32"/>
      <c r="B364" s="33"/>
      <c r="C364" s="41"/>
      <c r="D364" s="33"/>
      <c r="E364" s="35"/>
      <c r="F364" s="36"/>
      <c r="G364" s="37"/>
      <c r="H364" s="38"/>
      <c r="I364" s="38"/>
      <c r="J364" s="38"/>
      <c r="K364" s="39"/>
      <c r="L364" s="40"/>
      <c r="M364" s="39"/>
      <c r="N364" s="38"/>
      <c r="O364" s="37"/>
    </row>
    <row r="365" ht="22.5" customHeight="1">
      <c r="A365" s="32"/>
      <c r="B365" s="33"/>
      <c r="C365" s="41"/>
      <c r="D365" s="33"/>
      <c r="E365" s="35"/>
      <c r="F365" s="36"/>
      <c r="G365" s="37"/>
      <c r="H365" s="38"/>
      <c r="I365" s="38"/>
      <c r="J365" s="38"/>
      <c r="K365" s="39"/>
      <c r="L365" s="40"/>
      <c r="M365" s="39"/>
      <c r="N365" s="38"/>
      <c r="O365" s="37"/>
    </row>
    <row r="366" ht="22.5" customHeight="1">
      <c r="A366" s="32"/>
      <c r="B366" s="33"/>
      <c r="C366" s="41"/>
      <c r="D366" s="33"/>
      <c r="E366" s="35"/>
      <c r="F366" s="36"/>
      <c r="G366" s="37"/>
      <c r="H366" s="38"/>
      <c r="I366" s="38"/>
      <c r="J366" s="38"/>
      <c r="K366" s="39"/>
      <c r="L366" s="40"/>
      <c r="M366" s="39"/>
      <c r="N366" s="38"/>
      <c r="O366" s="37"/>
    </row>
    <row r="367" ht="22.5" customHeight="1">
      <c r="A367" s="32"/>
      <c r="B367" s="33"/>
      <c r="C367" s="41"/>
      <c r="D367" s="33"/>
      <c r="E367" s="35"/>
      <c r="F367" s="36"/>
      <c r="G367" s="37"/>
      <c r="H367" s="38"/>
      <c r="I367" s="38"/>
      <c r="J367" s="38"/>
      <c r="K367" s="39"/>
      <c r="L367" s="40"/>
      <c r="M367" s="39"/>
      <c r="N367" s="38"/>
      <c r="O367" s="37"/>
    </row>
    <row r="368" ht="22.5" customHeight="1">
      <c r="A368" s="32"/>
      <c r="B368" s="33"/>
      <c r="C368" s="41"/>
      <c r="D368" s="33"/>
      <c r="E368" s="35"/>
      <c r="F368" s="36"/>
      <c r="G368" s="37"/>
      <c r="H368" s="38"/>
      <c r="I368" s="38"/>
      <c r="J368" s="38"/>
      <c r="K368" s="39"/>
      <c r="L368" s="40"/>
      <c r="M368" s="39"/>
      <c r="N368" s="38"/>
      <c r="O368" s="37"/>
    </row>
    <row r="369" ht="22.5" customHeight="1">
      <c r="A369" s="32"/>
      <c r="B369" s="33"/>
      <c r="C369" s="41"/>
      <c r="D369" s="33"/>
      <c r="E369" s="35"/>
      <c r="F369" s="36"/>
      <c r="G369" s="37"/>
      <c r="H369" s="38"/>
      <c r="I369" s="38"/>
      <c r="J369" s="38"/>
      <c r="K369" s="39"/>
      <c r="L369" s="40"/>
      <c r="M369" s="39"/>
      <c r="N369" s="38"/>
      <c r="O369" s="37"/>
    </row>
    <row r="370" ht="22.5" customHeight="1">
      <c r="A370" s="32"/>
      <c r="B370" s="33"/>
      <c r="C370" s="41"/>
      <c r="D370" s="33"/>
      <c r="E370" s="35"/>
      <c r="F370" s="36"/>
      <c r="G370" s="37"/>
      <c r="H370" s="38"/>
      <c r="I370" s="38"/>
      <c r="J370" s="38"/>
      <c r="K370" s="39"/>
      <c r="L370" s="40"/>
      <c r="M370" s="39"/>
      <c r="N370" s="38"/>
      <c r="O370" s="37"/>
    </row>
    <row r="371" ht="22.5" customHeight="1">
      <c r="A371" s="32"/>
      <c r="B371" s="33"/>
      <c r="C371" s="41"/>
      <c r="D371" s="33"/>
      <c r="E371" s="35"/>
      <c r="F371" s="36"/>
      <c r="G371" s="37"/>
      <c r="H371" s="38"/>
      <c r="I371" s="38"/>
      <c r="J371" s="38"/>
      <c r="K371" s="39"/>
      <c r="L371" s="40"/>
      <c r="M371" s="39"/>
      <c r="N371" s="38"/>
      <c r="O371" s="37"/>
    </row>
    <row r="372" ht="22.5" customHeight="1">
      <c r="A372" s="32"/>
      <c r="B372" s="33"/>
      <c r="C372" s="41"/>
      <c r="D372" s="33"/>
      <c r="E372" s="35"/>
      <c r="F372" s="36"/>
      <c r="G372" s="37"/>
      <c r="H372" s="38"/>
      <c r="I372" s="38"/>
      <c r="J372" s="38"/>
      <c r="K372" s="39"/>
      <c r="L372" s="40"/>
      <c r="M372" s="39"/>
      <c r="N372" s="38"/>
      <c r="O372" s="37"/>
    </row>
    <row r="373" ht="22.5" customHeight="1">
      <c r="A373" s="32"/>
      <c r="B373" s="33"/>
      <c r="C373" s="41"/>
      <c r="D373" s="33"/>
      <c r="E373" s="35"/>
      <c r="F373" s="36"/>
      <c r="G373" s="37"/>
      <c r="H373" s="38"/>
      <c r="I373" s="38"/>
      <c r="J373" s="38"/>
      <c r="K373" s="39"/>
      <c r="L373" s="40"/>
      <c r="M373" s="39"/>
      <c r="N373" s="38"/>
      <c r="O373" s="37"/>
    </row>
    <row r="374" ht="22.5" customHeight="1">
      <c r="A374" s="32"/>
      <c r="B374" s="33"/>
      <c r="C374" s="41"/>
      <c r="D374" s="33"/>
      <c r="E374" s="35"/>
      <c r="F374" s="36"/>
      <c r="G374" s="37"/>
      <c r="H374" s="38"/>
      <c r="I374" s="38"/>
      <c r="J374" s="38"/>
      <c r="K374" s="39"/>
      <c r="L374" s="40"/>
      <c r="M374" s="39"/>
      <c r="N374" s="38"/>
      <c r="O374" s="37"/>
    </row>
    <row r="375" ht="22.5" customHeight="1">
      <c r="A375" s="32"/>
      <c r="B375" s="33"/>
      <c r="C375" s="41"/>
      <c r="D375" s="33"/>
      <c r="E375" s="35"/>
      <c r="F375" s="36"/>
      <c r="G375" s="37"/>
      <c r="H375" s="38"/>
      <c r="I375" s="38"/>
      <c r="J375" s="38"/>
      <c r="K375" s="39"/>
      <c r="L375" s="40"/>
      <c r="M375" s="39"/>
      <c r="N375" s="38"/>
      <c r="O375" s="37"/>
    </row>
    <row r="376" ht="22.5" customHeight="1">
      <c r="A376" s="32"/>
      <c r="B376" s="33"/>
      <c r="C376" s="41"/>
      <c r="D376" s="33"/>
      <c r="E376" s="35"/>
      <c r="F376" s="36"/>
      <c r="G376" s="37"/>
      <c r="H376" s="38"/>
      <c r="I376" s="38"/>
      <c r="J376" s="38"/>
      <c r="K376" s="39"/>
      <c r="L376" s="40"/>
      <c r="M376" s="39"/>
      <c r="N376" s="38"/>
      <c r="O376" s="37"/>
    </row>
    <row r="377" ht="22.5" customHeight="1">
      <c r="A377" s="32"/>
      <c r="B377" s="33"/>
      <c r="C377" s="41"/>
      <c r="D377" s="33"/>
      <c r="E377" s="35"/>
      <c r="F377" s="36"/>
      <c r="G377" s="37"/>
      <c r="H377" s="38"/>
      <c r="I377" s="38"/>
      <c r="J377" s="38"/>
      <c r="K377" s="39"/>
      <c r="L377" s="40"/>
      <c r="M377" s="39"/>
      <c r="N377" s="38"/>
      <c r="O377" s="37"/>
    </row>
    <row r="378" ht="22.5" customHeight="1">
      <c r="A378" s="32"/>
      <c r="B378" s="33"/>
      <c r="C378" s="41"/>
      <c r="D378" s="33"/>
      <c r="E378" s="35"/>
      <c r="F378" s="36"/>
      <c r="G378" s="37"/>
      <c r="H378" s="38"/>
      <c r="I378" s="38"/>
      <c r="J378" s="38"/>
      <c r="K378" s="39"/>
      <c r="L378" s="40"/>
      <c r="M378" s="39"/>
      <c r="N378" s="38"/>
      <c r="O378" s="37"/>
    </row>
    <row r="379" ht="22.5" customHeight="1">
      <c r="A379" s="32"/>
      <c r="B379" s="33"/>
      <c r="C379" s="41"/>
      <c r="D379" s="33"/>
      <c r="E379" s="35"/>
      <c r="F379" s="36"/>
      <c r="G379" s="37"/>
      <c r="H379" s="38"/>
      <c r="I379" s="38"/>
      <c r="J379" s="38"/>
      <c r="K379" s="39"/>
      <c r="L379" s="40"/>
      <c r="M379" s="39"/>
      <c r="N379" s="38"/>
      <c r="O379" s="37"/>
    </row>
    <row r="380" ht="22.5" customHeight="1">
      <c r="A380" s="32"/>
      <c r="B380" s="33"/>
      <c r="C380" s="41"/>
      <c r="D380" s="33"/>
      <c r="E380" s="35"/>
      <c r="F380" s="36"/>
      <c r="G380" s="37"/>
      <c r="H380" s="38"/>
      <c r="I380" s="38"/>
      <c r="J380" s="38"/>
      <c r="K380" s="39"/>
      <c r="L380" s="40"/>
      <c r="M380" s="39"/>
      <c r="N380" s="38"/>
      <c r="O380" s="37"/>
    </row>
    <row r="381" ht="22.5" customHeight="1">
      <c r="A381" s="32"/>
      <c r="B381" s="33"/>
      <c r="C381" s="41"/>
      <c r="D381" s="33"/>
      <c r="E381" s="35"/>
      <c r="F381" s="36"/>
      <c r="G381" s="37"/>
      <c r="H381" s="38"/>
      <c r="I381" s="38"/>
      <c r="J381" s="38"/>
      <c r="K381" s="39"/>
      <c r="L381" s="40"/>
      <c r="M381" s="39"/>
      <c r="N381" s="38"/>
      <c r="O381" s="37"/>
    </row>
    <row r="382" ht="22.5" customHeight="1">
      <c r="A382" s="32"/>
      <c r="B382" s="33"/>
      <c r="C382" s="41"/>
      <c r="D382" s="33"/>
      <c r="E382" s="35"/>
      <c r="F382" s="36"/>
      <c r="G382" s="37"/>
      <c r="H382" s="38"/>
      <c r="I382" s="38"/>
      <c r="J382" s="38"/>
      <c r="K382" s="39"/>
      <c r="L382" s="40"/>
      <c r="M382" s="39"/>
      <c r="N382" s="38"/>
      <c r="O382" s="37"/>
    </row>
    <row r="383" ht="22.5" customHeight="1">
      <c r="A383" s="32"/>
      <c r="B383" s="33"/>
      <c r="C383" s="41"/>
      <c r="D383" s="33"/>
      <c r="E383" s="35"/>
      <c r="F383" s="36"/>
      <c r="G383" s="37"/>
      <c r="H383" s="38"/>
      <c r="I383" s="38"/>
      <c r="J383" s="38"/>
      <c r="K383" s="39"/>
      <c r="L383" s="40"/>
      <c r="M383" s="39"/>
      <c r="N383" s="38"/>
      <c r="O383" s="37"/>
    </row>
    <row r="384" ht="22.5" customHeight="1">
      <c r="A384" s="32"/>
      <c r="B384" s="33"/>
      <c r="C384" s="41"/>
      <c r="D384" s="33"/>
      <c r="E384" s="35"/>
      <c r="F384" s="36"/>
      <c r="G384" s="37"/>
      <c r="H384" s="38"/>
      <c r="I384" s="38"/>
      <c r="J384" s="38"/>
      <c r="K384" s="39"/>
      <c r="L384" s="40"/>
      <c r="M384" s="39"/>
      <c r="N384" s="38"/>
      <c r="O384" s="37"/>
    </row>
    <row r="385" ht="22.5" customHeight="1">
      <c r="A385" s="32"/>
      <c r="B385" s="33"/>
      <c r="C385" s="41"/>
      <c r="D385" s="33"/>
      <c r="E385" s="35"/>
      <c r="F385" s="36"/>
      <c r="G385" s="37"/>
      <c r="H385" s="38"/>
      <c r="I385" s="38"/>
      <c r="J385" s="38"/>
      <c r="K385" s="39"/>
      <c r="L385" s="40"/>
      <c r="M385" s="39"/>
      <c r="N385" s="38"/>
      <c r="O385" s="37"/>
    </row>
    <row r="386" ht="22.5" customHeight="1">
      <c r="A386" s="32"/>
      <c r="B386" s="33"/>
      <c r="C386" s="41"/>
      <c r="D386" s="33"/>
      <c r="E386" s="35"/>
      <c r="F386" s="36"/>
      <c r="G386" s="37"/>
      <c r="H386" s="38"/>
      <c r="I386" s="38"/>
      <c r="J386" s="38"/>
      <c r="K386" s="39"/>
      <c r="L386" s="40"/>
      <c r="M386" s="39"/>
      <c r="N386" s="38"/>
      <c r="O386" s="37"/>
    </row>
  </sheetData>
  <conditionalFormatting sqref="G1:G386">
    <cfRule type="containsText" dxfId="5" priority="1" operator="containsText" text="minta">
      <formula>NOT(ISERROR(SEARCH(("minta"),(G1))))</formula>
    </cfRule>
  </conditionalFormatting>
  <dataValidations>
    <dataValidation type="custom" allowBlank="1" showDropDown="1" sqref="L2:M386">
      <formula1>OR(NOT(ISERROR(DATEVALUE(L2))), AND(ISNUMBER(L2), LEFT(CELL("format", L2))="D"))</formula1>
    </dataValidation>
    <dataValidation allowBlank="1" showDropDown="1" sqref="A2:A386 O2:O386"/>
    <dataValidation type="list" allowBlank="1" sqref="I2:I386">
      <formula1>"Closed,Dalam proses dr Candy,FU Ulang,Selesai,Proses Screening,Escort"</formula1>
    </dataValidation>
    <dataValidation type="list" allowBlank="1" sqref="H2:H386">
      <formula1>"Aura,Mba Dian"</formula1>
    </dataValidation>
    <dataValidation allowBlank="1" showDropDown="1" sqref="G2:G386"/>
    <dataValidation type="list" allowBlank="1" sqref="J2:J386">
      <formula1>"Audina,Maya,dr. Candy,-"</formula1>
    </dataValidation>
    <dataValidation type="list" allowBlank="1" sqref="N2:N386">
      <formula1>"Konsul,Tindakan,-"</formula1>
    </dataValidation>
  </dataValidations>
  <hyperlinks>
    <hyperlink r:id="rId1" ref="G6"/>
    <hyperlink r:id="rId2" ref="G7"/>
    <hyperlink r:id="rId3" ref="G37"/>
    <hyperlink r:id="rId4" ref="G44"/>
    <hyperlink r:id="rId5" ref="G52"/>
    <hyperlink r:id="rId6" ref="G60"/>
    <hyperlink r:id="rId7" ref="G73"/>
    <hyperlink r:id="rId8" ref="G84"/>
    <hyperlink r:id="rId9" ref="G119"/>
    <hyperlink r:id="rId10" ref="G128"/>
    <hyperlink r:id="rId11" ref="G165"/>
    <hyperlink r:id="rId12" ref="G167"/>
    <hyperlink r:id="rId13" ref="G176"/>
    <hyperlink r:id="rId14" ref="G238"/>
    <hyperlink r:id="rId15" ref="G258"/>
    <hyperlink r:id="rId16" ref="G271"/>
    <hyperlink r:id="rId17" ref="G277"/>
  </hyperlinks>
  <drawing r:id="rId18"/>
  <tableParts count="1">
    <tablePart r:id="rId2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s>
  <sheetData>
    <row r="1">
      <c r="A1" s="45"/>
      <c r="B1" s="45"/>
      <c r="C1" s="45"/>
      <c r="D1" s="45"/>
      <c r="E1" s="45"/>
      <c r="F1" s="45"/>
      <c r="G1" s="45"/>
      <c r="H1" s="45"/>
      <c r="I1" s="45"/>
      <c r="J1" s="45"/>
      <c r="K1" s="45"/>
      <c r="L1" s="45"/>
      <c r="M1" s="45"/>
      <c r="N1" s="45"/>
      <c r="O1" s="45"/>
      <c r="P1" s="45"/>
      <c r="Q1" s="45"/>
      <c r="R1" s="45"/>
      <c r="S1" s="45"/>
      <c r="T1" s="45"/>
      <c r="U1" s="45"/>
      <c r="V1" s="45"/>
      <c r="W1" s="45"/>
      <c r="X1" s="45"/>
      <c r="Y1" s="45"/>
      <c r="Z1" s="45"/>
    </row>
    <row r="2">
      <c r="A2" s="45"/>
      <c r="B2" s="46" t="s">
        <v>938</v>
      </c>
      <c r="N2" s="45"/>
      <c r="O2" s="45"/>
      <c r="P2" s="45"/>
      <c r="Q2" s="45"/>
      <c r="R2" s="45"/>
      <c r="S2" s="45"/>
      <c r="T2" s="45"/>
      <c r="U2" s="45"/>
      <c r="V2" s="45"/>
      <c r="W2" s="45"/>
      <c r="X2" s="45"/>
      <c r="Y2" s="45"/>
      <c r="Z2" s="45"/>
    </row>
    <row r="3">
      <c r="A3" s="45"/>
      <c r="N3" s="45"/>
      <c r="O3" s="45"/>
      <c r="P3" s="45"/>
      <c r="Q3" s="45"/>
      <c r="R3" s="45"/>
      <c r="S3" s="45"/>
      <c r="T3" s="45"/>
      <c r="U3" s="45"/>
      <c r="V3" s="45"/>
      <c r="W3" s="45"/>
      <c r="X3" s="45"/>
      <c r="Y3" s="45"/>
      <c r="Z3" s="45"/>
    </row>
    <row r="4">
      <c r="A4" s="45"/>
      <c r="B4" s="45"/>
      <c r="C4" s="45"/>
      <c r="D4" s="45"/>
      <c r="E4" s="45"/>
      <c r="F4" s="45"/>
      <c r="G4" s="45"/>
      <c r="H4" s="45"/>
      <c r="I4" s="45"/>
      <c r="J4" s="45"/>
      <c r="K4" s="45"/>
      <c r="L4" s="45"/>
      <c r="M4" s="45"/>
      <c r="N4" s="45"/>
      <c r="O4" s="45"/>
      <c r="P4" s="45"/>
      <c r="Q4" s="45"/>
      <c r="R4" s="45"/>
      <c r="S4" s="45"/>
      <c r="T4" s="45"/>
      <c r="U4" s="45"/>
      <c r="V4" s="45"/>
      <c r="W4" s="45"/>
      <c r="X4" s="45"/>
      <c r="Y4" s="45"/>
      <c r="Z4" s="45"/>
    </row>
    <row r="5">
      <c r="A5" s="45"/>
      <c r="B5" s="45"/>
      <c r="C5" s="45"/>
      <c r="D5" s="45"/>
      <c r="E5" s="45"/>
      <c r="F5" s="45"/>
      <c r="G5" s="45"/>
      <c r="H5" s="45"/>
      <c r="I5" s="45"/>
      <c r="J5" s="45"/>
      <c r="K5" s="45"/>
      <c r="L5" s="45"/>
      <c r="M5" s="45"/>
      <c r="N5" s="45"/>
      <c r="O5" s="45"/>
      <c r="P5" s="45"/>
      <c r="Q5" s="45"/>
      <c r="R5" s="45"/>
      <c r="S5" s="45"/>
      <c r="T5" s="45"/>
      <c r="U5" s="45"/>
      <c r="V5" s="45"/>
      <c r="W5" s="45"/>
      <c r="X5" s="45"/>
      <c r="Y5" s="45"/>
      <c r="Z5" s="45"/>
    </row>
    <row r="6">
      <c r="A6" s="45"/>
      <c r="B6" s="45"/>
      <c r="C6" s="45"/>
      <c r="D6" s="45"/>
      <c r="E6" s="45"/>
      <c r="F6" s="45"/>
      <c r="G6" s="45"/>
      <c r="H6" s="45"/>
      <c r="I6" s="45"/>
      <c r="J6" s="45"/>
      <c r="K6" s="45"/>
      <c r="L6" s="45"/>
      <c r="M6" s="45"/>
      <c r="N6" s="45"/>
      <c r="O6" s="45"/>
      <c r="P6" s="45"/>
      <c r="Q6" s="45"/>
      <c r="R6" s="45"/>
      <c r="S6" s="45"/>
      <c r="T6" s="45"/>
      <c r="U6" s="45"/>
      <c r="V6" s="45"/>
      <c r="W6" s="45"/>
      <c r="X6" s="45"/>
      <c r="Y6" s="45"/>
      <c r="Z6" s="45"/>
    </row>
    <row r="7">
      <c r="A7" s="45"/>
      <c r="B7" s="45"/>
      <c r="C7" s="45"/>
      <c r="D7" s="45"/>
      <c r="E7" s="45"/>
      <c r="F7" s="45"/>
      <c r="G7" s="45"/>
      <c r="H7" s="45"/>
      <c r="I7" s="45"/>
      <c r="J7" s="45"/>
      <c r="K7" s="45"/>
      <c r="L7" s="45"/>
      <c r="M7" s="45"/>
      <c r="N7" s="45"/>
      <c r="O7" s="45"/>
      <c r="P7" s="45"/>
      <c r="Q7" s="45"/>
      <c r="R7" s="45"/>
      <c r="S7" s="45"/>
      <c r="T7" s="45"/>
      <c r="U7" s="45"/>
      <c r="V7" s="45"/>
      <c r="W7" s="45"/>
      <c r="X7" s="45"/>
      <c r="Y7" s="45"/>
      <c r="Z7" s="45"/>
    </row>
    <row r="8">
      <c r="A8" s="45"/>
      <c r="B8" s="45"/>
      <c r="C8" s="45"/>
      <c r="D8" s="45"/>
      <c r="E8" s="45"/>
      <c r="F8" s="45"/>
      <c r="G8" s="45"/>
      <c r="H8" s="45"/>
      <c r="I8" s="45"/>
      <c r="J8" s="45"/>
      <c r="K8" s="45"/>
      <c r="L8" s="45"/>
      <c r="M8" s="45"/>
      <c r="N8" s="45"/>
      <c r="O8" s="45"/>
      <c r="P8" s="45"/>
      <c r="Q8" s="45"/>
      <c r="R8" s="45"/>
      <c r="S8" s="45"/>
      <c r="T8" s="45"/>
      <c r="U8" s="45"/>
      <c r="V8" s="45"/>
      <c r="W8" s="45"/>
      <c r="X8" s="45"/>
      <c r="Y8" s="45"/>
      <c r="Z8" s="45"/>
    </row>
    <row r="9">
      <c r="A9" s="45"/>
      <c r="B9" s="45"/>
      <c r="C9" s="45"/>
      <c r="D9" s="45"/>
      <c r="E9" s="45"/>
      <c r="F9" s="45"/>
      <c r="G9" s="45"/>
      <c r="H9" s="45"/>
      <c r="I9" s="45"/>
      <c r="J9" s="45"/>
      <c r="K9" s="45"/>
      <c r="L9" s="45"/>
      <c r="M9" s="45"/>
      <c r="N9" s="45"/>
      <c r="O9" s="45"/>
      <c r="P9" s="45"/>
      <c r="Q9" s="45"/>
      <c r="R9" s="45"/>
      <c r="S9" s="45"/>
      <c r="T9" s="45"/>
      <c r="U9" s="45"/>
      <c r="V9" s="45"/>
      <c r="W9" s="45"/>
      <c r="X9" s="45"/>
      <c r="Y9" s="45"/>
      <c r="Z9" s="45"/>
    </row>
    <row r="10">
      <c r="A10" s="45"/>
      <c r="B10" s="45"/>
      <c r="C10" s="45"/>
      <c r="D10" s="45"/>
      <c r="E10" s="45"/>
      <c r="F10" s="45"/>
      <c r="G10" s="45"/>
      <c r="H10" s="45"/>
      <c r="I10" s="45"/>
      <c r="J10" s="45"/>
      <c r="K10" s="45"/>
      <c r="L10" s="45"/>
      <c r="M10" s="45"/>
      <c r="N10" s="45"/>
      <c r="O10" s="45"/>
      <c r="P10" s="45"/>
      <c r="Q10" s="45"/>
      <c r="R10" s="45"/>
      <c r="S10" s="45"/>
      <c r="T10" s="45"/>
      <c r="U10" s="45"/>
      <c r="V10" s="45"/>
      <c r="W10" s="45"/>
      <c r="X10" s="45"/>
      <c r="Y10" s="45"/>
      <c r="Z10" s="45"/>
    </row>
    <row r="11">
      <c r="A11" s="45"/>
      <c r="B11" s="45"/>
      <c r="C11" s="45"/>
      <c r="D11" s="45"/>
      <c r="E11" s="45"/>
      <c r="F11" s="45"/>
      <c r="G11" s="45"/>
      <c r="H11" s="45"/>
      <c r="I11" s="45"/>
      <c r="J11" s="45"/>
      <c r="K11" s="45"/>
      <c r="L11" s="45"/>
      <c r="M11" s="45"/>
      <c r="N11" s="45"/>
      <c r="O11" s="45"/>
      <c r="P11" s="45"/>
      <c r="Q11" s="45"/>
      <c r="R11" s="45"/>
      <c r="S11" s="45"/>
      <c r="T11" s="45"/>
      <c r="U11" s="45"/>
      <c r="V11" s="45"/>
      <c r="W11" s="45"/>
      <c r="X11" s="45"/>
      <c r="Y11" s="45"/>
      <c r="Z11" s="45"/>
    </row>
    <row r="12">
      <c r="A12" s="45"/>
      <c r="B12" s="45"/>
      <c r="C12" s="45"/>
      <c r="D12" s="45"/>
      <c r="E12" s="45"/>
      <c r="F12" s="45"/>
      <c r="G12" s="45"/>
      <c r="H12" s="45"/>
      <c r="I12" s="45"/>
      <c r="J12" s="45"/>
      <c r="K12" s="45"/>
      <c r="L12" s="45"/>
      <c r="M12" s="45"/>
      <c r="N12" s="45"/>
      <c r="O12" s="45"/>
      <c r="P12" s="45"/>
      <c r="Q12" s="45"/>
      <c r="R12" s="45"/>
      <c r="S12" s="45"/>
      <c r="T12" s="45"/>
      <c r="U12" s="45"/>
      <c r="V12" s="45"/>
      <c r="W12" s="45"/>
      <c r="X12" s="45"/>
      <c r="Y12" s="45"/>
      <c r="Z12" s="45"/>
    </row>
    <row r="13">
      <c r="A13" s="45"/>
      <c r="B13" s="45"/>
      <c r="C13" s="45"/>
      <c r="D13" s="45"/>
      <c r="E13" s="45"/>
      <c r="F13" s="45"/>
      <c r="G13" s="45"/>
      <c r="H13" s="45"/>
      <c r="I13" s="45"/>
      <c r="J13" s="45"/>
      <c r="K13" s="45"/>
      <c r="L13" s="45"/>
      <c r="M13" s="45"/>
      <c r="N13" s="45"/>
      <c r="O13" s="45"/>
      <c r="P13" s="45"/>
      <c r="Q13" s="45"/>
      <c r="R13" s="45"/>
      <c r="S13" s="45"/>
      <c r="T13" s="45"/>
      <c r="U13" s="45"/>
      <c r="V13" s="45"/>
      <c r="W13" s="45"/>
      <c r="X13" s="45"/>
      <c r="Y13" s="45"/>
      <c r="Z13" s="45"/>
    </row>
    <row r="14">
      <c r="A14" s="45"/>
      <c r="B14" s="45"/>
      <c r="C14" s="45"/>
      <c r="D14" s="45"/>
      <c r="E14" s="45"/>
      <c r="F14" s="45"/>
      <c r="G14" s="45"/>
      <c r="H14" s="45"/>
      <c r="I14" s="45"/>
      <c r="J14" s="45"/>
      <c r="K14" s="45"/>
      <c r="L14" s="45"/>
      <c r="M14" s="45"/>
      <c r="N14" s="45"/>
      <c r="O14" s="45"/>
      <c r="P14" s="45"/>
      <c r="Q14" s="45"/>
      <c r="R14" s="45"/>
      <c r="S14" s="45"/>
      <c r="T14" s="45"/>
      <c r="U14" s="45"/>
      <c r="V14" s="45"/>
      <c r="W14" s="45"/>
      <c r="X14" s="45"/>
      <c r="Y14" s="45"/>
      <c r="Z14" s="45"/>
    </row>
    <row r="15">
      <c r="A15" s="45"/>
      <c r="B15" s="45"/>
      <c r="C15" s="45"/>
      <c r="D15" s="45"/>
      <c r="E15" s="45"/>
      <c r="F15" s="45"/>
      <c r="G15" s="45"/>
      <c r="H15" s="45"/>
      <c r="I15" s="45"/>
      <c r="J15" s="45"/>
      <c r="K15" s="45"/>
      <c r="L15" s="45"/>
      <c r="M15" s="45"/>
      <c r="N15" s="45"/>
      <c r="O15" s="45"/>
      <c r="P15" s="45"/>
      <c r="Q15" s="45"/>
      <c r="R15" s="45"/>
      <c r="S15" s="45"/>
      <c r="T15" s="45"/>
      <c r="U15" s="45"/>
      <c r="V15" s="45"/>
      <c r="W15" s="45"/>
      <c r="X15" s="45"/>
      <c r="Y15" s="45"/>
      <c r="Z15" s="45"/>
    </row>
    <row r="16">
      <c r="A16" s="45"/>
      <c r="B16" s="45"/>
      <c r="C16" s="45"/>
      <c r="D16" s="45"/>
      <c r="E16" s="45"/>
      <c r="F16" s="45"/>
      <c r="G16" s="45"/>
      <c r="H16" s="45"/>
      <c r="I16" s="45"/>
      <c r="J16" s="45"/>
      <c r="K16" s="45"/>
      <c r="L16" s="45"/>
      <c r="M16" s="45"/>
      <c r="N16" s="45"/>
      <c r="O16" s="45"/>
      <c r="P16" s="45"/>
      <c r="Q16" s="45"/>
      <c r="R16" s="45"/>
      <c r="S16" s="45"/>
      <c r="T16" s="45"/>
      <c r="U16" s="45"/>
      <c r="V16" s="45"/>
      <c r="W16" s="45"/>
      <c r="X16" s="45"/>
      <c r="Y16" s="45"/>
      <c r="Z16" s="45"/>
    </row>
    <row r="17">
      <c r="A17" s="45"/>
      <c r="B17" s="45"/>
      <c r="C17" s="45"/>
      <c r="D17" s="45"/>
      <c r="E17" s="45"/>
      <c r="F17" s="45"/>
      <c r="G17" s="45"/>
      <c r="H17" s="45"/>
      <c r="I17" s="45"/>
      <c r="J17" s="45"/>
      <c r="K17" s="45"/>
      <c r="L17" s="45"/>
      <c r="M17" s="45"/>
      <c r="N17" s="45"/>
      <c r="O17" s="45"/>
      <c r="P17" s="45"/>
      <c r="Q17" s="45"/>
      <c r="R17" s="45"/>
      <c r="S17" s="45"/>
      <c r="T17" s="45"/>
      <c r="U17" s="45"/>
      <c r="V17" s="45"/>
      <c r="W17" s="45"/>
      <c r="X17" s="45"/>
      <c r="Y17" s="45"/>
      <c r="Z17" s="45"/>
    </row>
    <row r="18">
      <c r="A18" s="45"/>
      <c r="B18" s="45"/>
      <c r="C18" s="45"/>
      <c r="D18" s="45"/>
      <c r="E18" s="45"/>
      <c r="F18" s="45"/>
      <c r="G18" s="45"/>
      <c r="H18" s="45"/>
      <c r="I18" s="45"/>
      <c r="J18" s="45"/>
      <c r="K18" s="45"/>
      <c r="L18" s="45"/>
      <c r="M18" s="45"/>
      <c r="N18" s="45"/>
      <c r="O18" s="45"/>
      <c r="P18" s="45"/>
      <c r="Q18" s="45"/>
      <c r="R18" s="45"/>
      <c r="S18" s="45"/>
      <c r="T18" s="45"/>
      <c r="U18" s="45"/>
      <c r="V18" s="45"/>
      <c r="W18" s="45"/>
      <c r="X18" s="45"/>
      <c r="Y18" s="45"/>
      <c r="Z18" s="45"/>
    </row>
    <row r="19">
      <c r="A19" s="45"/>
      <c r="B19" s="45"/>
      <c r="C19" s="45"/>
      <c r="D19" s="45"/>
      <c r="E19" s="45"/>
      <c r="F19" s="45"/>
      <c r="G19" s="45"/>
      <c r="H19" s="45"/>
      <c r="I19" s="45"/>
      <c r="J19" s="45"/>
      <c r="K19" s="45"/>
      <c r="L19" s="45"/>
      <c r="M19" s="45"/>
      <c r="N19" s="45"/>
      <c r="O19" s="45"/>
      <c r="P19" s="45"/>
      <c r="Q19" s="45"/>
      <c r="R19" s="45"/>
      <c r="S19" s="45"/>
      <c r="T19" s="45"/>
      <c r="U19" s="45"/>
      <c r="V19" s="45"/>
      <c r="W19" s="45"/>
      <c r="X19" s="45"/>
      <c r="Y19" s="45"/>
      <c r="Z19" s="45"/>
    </row>
    <row r="20">
      <c r="A20" s="45"/>
      <c r="B20" s="45"/>
      <c r="C20" s="45"/>
      <c r="D20" s="45"/>
      <c r="E20" s="45"/>
      <c r="F20" s="45"/>
      <c r="G20" s="45"/>
      <c r="H20" s="45"/>
      <c r="I20" s="45"/>
      <c r="J20" s="45"/>
      <c r="K20" s="45"/>
      <c r="L20" s="45"/>
      <c r="M20" s="45"/>
      <c r="N20" s="45"/>
      <c r="O20" s="45"/>
      <c r="P20" s="45"/>
      <c r="Q20" s="45"/>
      <c r="R20" s="45"/>
      <c r="S20" s="45"/>
      <c r="T20" s="45"/>
      <c r="U20" s="45"/>
      <c r="V20" s="45"/>
      <c r="W20" s="45"/>
      <c r="X20" s="45"/>
      <c r="Y20" s="45"/>
      <c r="Z20" s="45"/>
    </row>
    <row r="21">
      <c r="A21" s="45"/>
      <c r="B21" s="45"/>
      <c r="C21" s="45"/>
      <c r="D21" s="45"/>
      <c r="E21" s="45"/>
      <c r="F21" s="45"/>
      <c r="G21" s="45"/>
      <c r="H21" s="45"/>
      <c r="I21" s="45"/>
      <c r="J21" s="45"/>
      <c r="K21" s="45"/>
      <c r="L21" s="45"/>
      <c r="M21" s="45"/>
      <c r="N21" s="45"/>
      <c r="O21" s="45"/>
      <c r="P21" s="45"/>
      <c r="Q21" s="45"/>
      <c r="R21" s="45"/>
      <c r="S21" s="45"/>
      <c r="T21" s="45"/>
      <c r="U21" s="45"/>
      <c r="V21" s="45"/>
      <c r="W21" s="45"/>
      <c r="X21" s="45"/>
      <c r="Y21" s="45"/>
      <c r="Z21" s="45"/>
    </row>
    <row r="22">
      <c r="A22" s="45"/>
      <c r="B22" s="45"/>
      <c r="C22" s="45"/>
      <c r="D22" s="45"/>
      <c r="E22" s="45"/>
      <c r="F22" s="45"/>
      <c r="G22" s="45"/>
      <c r="H22" s="45"/>
      <c r="I22" s="45"/>
      <c r="J22" s="45"/>
      <c r="K22" s="45"/>
      <c r="L22" s="45"/>
      <c r="M22" s="45"/>
      <c r="N22" s="45"/>
      <c r="O22" s="45"/>
      <c r="P22" s="45"/>
      <c r="Q22" s="45"/>
      <c r="R22" s="45"/>
      <c r="S22" s="45"/>
      <c r="T22" s="45"/>
      <c r="U22" s="45"/>
      <c r="V22" s="45"/>
      <c r="W22" s="45"/>
      <c r="X22" s="45"/>
      <c r="Y22" s="45"/>
      <c r="Z22" s="45"/>
    </row>
    <row r="23">
      <c r="A23" s="45"/>
      <c r="B23" s="45"/>
      <c r="C23" s="45"/>
      <c r="D23" s="45"/>
      <c r="E23" s="45"/>
      <c r="F23" s="45"/>
      <c r="G23" s="45"/>
      <c r="H23" s="45"/>
      <c r="I23" s="45"/>
      <c r="J23" s="45"/>
      <c r="K23" s="45"/>
      <c r="L23" s="45"/>
      <c r="M23" s="45"/>
      <c r="N23" s="45"/>
      <c r="O23" s="45"/>
      <c r="P23" s="45"/>
      <c r="Q23" s="45"/>
      <c r="R23" s="45"/>
      <c r="S23" s="45"/>
      <c r="T23" s="45"/>
      <c r="U23" s="45"/>
      <c r="V23" s="45"/>
      <c r="W23" s="45"/>
      <c r="X23" s="45"/>
      <c r="Y23" s="45"/>
      <c r="Z23" s="45"/>
    </row>
    <row r="24">
      <c r="A24" s="45"/>
      <c r="B24" s="45"/>
      <c r="C24" s="45"/>
      <c r="D24" s="45"/>
      <c r="E24" s="45"/>
      <c r="F24" s="45"/>
      <c r="G24" s="45"/>
      <c r="H24" s="45"/>
      <c r="I24" s="45"/>
      <c r="J24" s="45"/>
      <c r="K24" s="45"/>
      <c r="L24" s="45"/>
      <c r="M24" s="45"/>
      <c r="N24" s="45"/>
      <c r="O24" s="45"/>
      <c r="P24" s="45"/>
      <c r="Q24" s="45"/>
      <c r="R24" s="45"/>
      <c r="S24" s="45"/>
      <c r="T24" s="45"/>
      <c r="U24" s="45"/>
      <c r="V24" s="45"/>
      <c r="W24" s="45"/>
      <c r="X24" s="45"/>
      <c r="Y24" s="45"/>
      <c r="Z24" s="45"/>
    </row>
    <row r="25">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row>
    <row r="26">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row>
    <row r="27">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row>
    <row r="28">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row>
    <row r="29">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row>
    <row r="30">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row>
    <row r="3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row>
    <row r="32">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row>
    <row r="33">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row>
    <row r="34">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row>
    <row r="35">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row>
    <row r="36">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row>
    <row r="37">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row>
    <row r="38">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row>
    <row r="39">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row>
    <row r="40">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row>
    <row r="4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row>
    <row r="42">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row>
    <row r="43">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row>
    <row r="44">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row>
    <row r="45">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row>
    <row r="46">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row>
    <row r="47">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row>
    <row r="48">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row>
    <row r="49">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row>
    <row r="50">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row>
    <row r="51">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row>
    <row r="52">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row>
    <row r="53">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row>
    <row r="54">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row>
    <row r="55">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row>
    <row r="56">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row>
    <row r="57">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row>
    <row r="58">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row>
    <row r="59">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row>
    <row r="60">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row>
    <row r="61">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row>
    <row r="62">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row>
    <row r="63">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row>
    <row r="64">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row>
    <row r="65">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row>
    <row r="66">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sheetData>
  <mergeCells count="1">
    <mergeCell ref="B2:M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7" t="s">
        <v>939</v>
      </c>
    </row>
    <row r="2">
      <c r="A2" s="48">
        <f>COUNTA(Sheet1!A2:A1000)</f>
        <v>249</v>
      </c>
    </row>
    <row r="5">
      <c r="A5" s="48" t="str">
        <f>IFERROR(__xludf.DUMMYFUNCTION("QUERY(Sheet1!A1:O1000, ""SELECT I, COUNT(I) WHERE I IS NOT NULL GROUP BY I ORDER BY COUNT(I) DESC LABEL I 'Status', COUNT(I) 'Count'"", 1)"),"Status")</f>
        <v>Status</v>
      </c>
      <c r="B5" s="48" t="str">
        <f>IFERROR(__xludf.DUMMYFUNCTION("""COMPUTED_VALUE"""),"Count")</f>
        <v>Count</v>
      </c>
      <c r="D5" s="48" t="str">
        <f>IFERROR(__xludf.DUMMYFUNCTION("QUERY(Sheet1!A1:O1000, ""SELECT J, COUNT(J) WHERE J IS NOT NULL AND J != '-' GROUP BY J ORDER BY COUNT(J) DESC LABEL J 'Assignee', COUNT(J) 'Count'"", 1)"),"Assignee")</f>
        <v>Assignee</v>
      </c>
      <c r="E5" s="48" t="str">
        <f>IFERROR(__xludf.DUMMYFUNCTION("""COMPUTED_VALUE"""),"Count")</f>
        <v>Count</v>
      </c>
      <c r="G5" s="48" t="str">
        <f>IFERROR(__xludf.DUMMYFUNCTION("QUERY(Sheet1!A1:O1000, ""SELECT C, COUNT(C) WHERE C IS NOT NULL GROUP BY C ORDER BY COUNT(C) DESC LIMIT 10 LABEL C 'Location', COUNT(C) 'Count'"", 1)"),"Location")</f>
        <v>Location</v>
      </c>
      <c r="H5" s="48" t="str">
        <f>IFERROR(__xludf.DUMMYFUNCTION("""COMPUTED_VALUE"""),"Count")</f>
        <v>Count</v>
      </c>
    </row>
    <row r="6">
      <c r="A6" s="48" t="str">
        <f>IFERROR(__xludf.DUMMYFUNCTION("""COMPUTED_VALUE"""),"Closed")</f>
        <v>Closed</v>
      </c>
      <c r="B6" s="48">
        <f>IFERROR(__xludf.DUMMYFUNCTION("""COMPUTED_VALUE"""),92.0)</f>
        <v>92</v>
      </c>
      <c r="D6" s="48" t="str">
        <f>IFERROR(__xludf.DUMMYFUNCTION("""COMPUTED_VALUE"""),"Maya")</f>
        <v>Maya</v>
      </c>
      <c r="E6" s="48">
        <f>IFERROR(__xludf.DUMMYFUNCTION("""COMPUTED_VALUE"""),30.0)</f>
        <v>30</v>
      </c>
      <c r="G6" s="48" t="str">
        <f>IFERROR(__xludf.DUMMYFUNCTION("""COMPUTED_VALUE"""),"Bali")</f>
        <v>Bali</v>
      </c>
      <c r="H6" s="48">
        <f>IFERROR(__xludf.DUMMYFUNCTION("""COMPUTED_VALUE"""),7.0)</f>
        <v>7</v>
      </c>
    </row>
    <row r="7">
      <c r="A7" s="48" t="str">
        <f>IFERROR(__xludf.DUMMYFUNCTION("""COMPUTED_VALUE"""),"FU Ulang")</f>
        <v>FU Ulang</v>
      </c>
      <c r="B7" s="48">
        <f>IFERROR(__xludf.DUMMYFUNCTION("""COMPUTED_VALUE"""),54.0)</f>
        <v>54</v>
      </c>
      <c r="D7" s="48" t="str">
        <f>IFERROR(__xludf.DUMMYFUNCTION("""COMPUTED_VALUE"""),"Audina")</f>
        <v>Audina</v>
      </c>
      <c r="E7" s="48">
        <f>IFERROR(__xludf.DUMMYFUNCTION("""COMPUTED_VALUE"""),24.0)</f>
        <v>24</v>
      </c>
      <c r="G7" s="48" t="str">
        <f>IFERROR(__xludf.DUMMYFUNCTION("""COMPUTED_VALUE"""),"Makassar")</f>
        <v>Makassar</v>
      </c>
      <c r="H7" s="48">
        <f>IFERROR(__xludf.DUMMYFUNCTION("""COMPUTED_VALUE"""),5.0)</f>
        <v>5</v>
      </c>
    </row>
    <row r="8">
      <c r="A8" s="48" t="str">
        <f>IFERROR(__xludf.DUMMYFUNCTION("""COMPUTED_VALUE"""),"Proses Screening")</f>
        <v>Proses Screening</v>
      </c>
      <c r="B8" s="48">
        <f>IFERROR(__xludf.DUMMYFUNCTION("""COMPUTED_VALUE"""),27.0)</f>
        <v>27</v>
      </c>
      <c r="D8" s="48" t="str">
        <f>IFERROR(__xludf.DUMMYFUNCTION("""COMPUTED_VALUE"""),"dr. Candy")</f>
        <v>dr. Candy</v>
      </c>
      <c r="E8" s="48">
        <f>IFERROR(__xludf.DUMMYFUNCTION("""COMPUTED_VALUE"""),24.0)</f>
        <v>24</v>
      </c>
      <c r="G8" s="48" t="str">
        <f>IFERROR(__xludf.DUMMYFUNCTION("""COMPUTED_VALUE"""),"Kalimantan Timur")</f>
        <v>Kalimantan Timur</v>
      </c>
      <c r="H8" s="48">
        <f>IFERROR(__xludf.DUMMYFUNCTION("""COMPUTED_VALUE"""),3.0)</f>
        <v>3</v>
      </c>
    </row>
    <row r="9">
      <c r="A9" s="48" t="str">
        <f>IFERROR(__xludf.DUMMYFUNCTION("""COMPUTED_VALUE"""),"Dalam proses dr Candy")</f>
        <v>Dalam proses dr Candy</v>
      </c>
      <c r="B9" s="48">
        <f>IFERROR(__xludf.DUMMYFUNCTION("""COMPUTED_VALUE"""),24.0)</f>
        <v>24</v>
      </c>
      <c r="G9" s="48" t="str">
        <f>IFERROR(__xludf.DUMMYFUNCTION("""COMPUTED_VALUE"""),"Medan")</f>
        <v>Medan</v>
      </c>
      <c r="H9" s="48">
        <f>IFERROR(__xludf.DUMMYFUNCTION("""COMPUTED_VALUE"""),3.0)</f>
        <v>3</v>
      </c>
    </row>
    <row r="10">
      <c r="G10" s="48" t="str">
        <f>IFERROR(__xludf.DUMMYFUNCTION("""COMPUTED_VALUE"""),"Palembang")</f>
        <v>Palembang</v>
      </c>
      <c r="H10" s="48">
        <f>IFERROR(__xludf.DUMMYFUNCTION("""COMPUTED_VALUE"""),3.0)</f>
        <v>3</v>
      </c>
    </row>
    <row r="11">
      <c r="G11" s="48" t="str">
        <f>IFERROR(__xludf.DUMMYFUNCTION("""COMPUTED_VALUE"""),"Surabaya")</f>
        <v>Surabaya</v>
      </c>
      <c r="H11" s="48">
        <f>IFERROR(__xludf.DUMMYFUNCTION("""COMPUTED_VALUE"""),3.0)</f>
        <v>3</v>
      </c>
    </row>
    <row r="12">
      <c r="G12" s="48" t="str">
        <f>IFERROR(__xludf.DUMMYFUNCTION("""COMPUTED_VALUE"""),"Ambon")</f>
        <v>Ambon</v>
      </c>
      <c r="H12" s="48">
        <f>IFERROR(__xludf.DUMMYFUNCTION("""COMPUTED_VALUE"""),2.0)</f>
        <v>2</v>
      </c>
    </row>
    <row r="13">
      <c r="G13" s="48" t="str">
        <f>IFERROR(__xludf.DUMMYFUNCTION("""COMPUTED_VALUE"""),"Bandung")</f>
        <v>Bandung</v>
      </c>
      <c r="H13" s="48">
        <f>IFERROR(__xludf.DUMMYFUNCTION("""COMPUTED_VALUE"""),2.0)</f>
        <v>2</v>
      </c>
    </row>
    <row r="14">
      <c r="G14" s="48" t="str">
        <f>IFERROR(__xludf.DUMMYFUNCTION("""COMPUTED_VALUE"""),"Bogor")</f>
        <v>Bogor</v>
      </c>
      <c r="H14" s="48">
        <f>IFERROR(__xludf.DUMMYFUNCTION("""COMPUTED_VALUE"""),2.0)</f>
        <v>2</v>
      </c>
    </row>
    <row r="15">
      <c r="G15" s="48" t="str">
        <f>IFERROR(__xludf.DUMMYFUNCTION("""COMPUTED_VALUE"""),"Flores")</f>
        <v>Flores</v>
      </c>
      <c r="H15" s="48">
        <f>IFERROR(__xludf.DUMMYFUNCTION("""COMPUTED_VALUE"""),2.0)</f>
        <v>2</v>
      </c>
    </row>
  </sheetData>
  <drawing r:id="rId1"/>
</worksheet>
</file>